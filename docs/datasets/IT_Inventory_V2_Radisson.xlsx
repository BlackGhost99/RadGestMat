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rice.moukabi\Desktop\"/>
    </mc:Choice>
  </mc:AlternateContent>
  <xr:revisionPtr revIDLastSave="0" documentId="8_{4494B3AB-4588-420C-B30C-FDD3A75FC0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" sheetId="1" r:id="rId1"/>
    <sheet name="MOUVEMENTS_STOCK" sheetId="2" r:id="rId2"/>
    <sheet name="ATTRIBUTIONS" sheetId="3" r:id="rId3"/>
    <sheet name="ALERTES" sheetId="4" r:id="rId4"/>
    <sheet name="DASHBOARD" sheetId="5" r:id="rId5"/>
    <sheet name="PARAMETRES" sheetId="6" r:id="rId6"/>
    <sheet name="GUIDE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G78" i="1"/>
  <c r="F78" i="1"/>
  <c r="H78" i="1" s="1"/>
  <c r="J78" i="1" s="1"/>
  <c r="K78" i="1" s="1"/>
  <c r="G77" i="1"/>
  <c r="F77" i="1"/>
  <c r="H77" i="1" s="1"/>
  <c r="J77" i="1" s="1"/>
  <c r="K77" i="1" s="1"/>
  <c r="G76" i="1"/>
  <c r="F76" i="1"/>
  <c r="H76" i="1" s="1"/>
  <c r="J76" i="1" s="1"/>
  <c r="K76" i="1" s="1"/>
  <c r="G75" i="1"/>
  <c r="F75" i="1"/>
  <c r="H75" i="1" s="1"/>
  <c r="J75" i="1" s="1"/>
  <c r="K75" i="1" s="1"/>
  <c r="G74" i="1"/>
  <c r="F74" i="1"/>
  <c r="H74" i="1" s="1"/>
  <c r="J74" i="1" s="1"/>
  <c r="K74" i="1" s="1"/>
  <c r="G73" i="1"/>
  <c r="F73" i="1"/>
  <c r="H73" i="1" s="1"/>
  <c r="J73" i="1" s="1"/>
  <c r="K73" i="1" s="1"/>
  <c r="G72" i="1"/>
  <c r="F72" i="1"/>
  <c r="H72" i="1" s="1"/>
  <c r="J72" i="1" s="1"/>
  <c r="K72" i="1" s="1"/>
  <c r="G71" i="1"/>
  <c r="F71" i="1"/>
  <c r="H71" i="1" s="1"/>
  <c r="J71" i="1" s="1"/>
  <c r="K71" i="1" s="1"/>
  <c r="G70" i="1"/>
  <c r="H70" i="1" s="1"/>
  <c r="J70" i="1" s="1"/>
  <c r="K70" i="1" s="1"/>
  <c r="F70" i="1"/>
  <c r="G69" i="1"/>
  <c r="H69" i="1" s="1"/>
  <c r="J69" i="1" s="1"/>
  <c r="K69" i="1" s="1"/>
  <c r="F69" i="1"/>
  <c r="G68" i="1"/>
  <c r="F68" i="1"/>
  <c r="H68" i="1" s="1"/>
  <c r="J68" i="1" s="1"/>
  <c r="K68" i="1" s="1"/>
  <c r="G67" i="1"/>
  <c r="F67" i="1"/>
  <c r="H67" i="1" s="1"/>
  <c r="J67" i="1" s="1"/>
  <c r="K67" i="1" s="1"/>
  <c r="J66" i="1"/>
  <c r="K66" i="1" s="1"/>
  <c r="H66" i="1"/>
  <c r="G66" i="1"/>
  <c r="F66" i="1"/>
  <c r="H65" i="1"/>
  <c r="J65" i="1" s="1"/>
  <c r="K65" i="1" s="1"/>
  <c r="G65" i="1"/>
  <c r="F65" i="1"/>
  <c r="G64" i="1"/>
  <c r="F64" i="1"/>
  <c r="H64" i="1" s="1"/>
  <c r="J64" i="1" s="1"/>
  <c r="K64" i="1" s="1"/>
  <c r="G63" i="1"/>
  <c r="F63" i="1"/>
  <c r="H63" i="1" s="1"/>
  <c r="J63" i="1" s="1"/>
  <c r="K63" i="1" s="1"/>
  <c r="H62" i="1"/>
  <c r="J62" i="1" s="1"/>
  <c r="K62" i="1" s="1"/>
  <c r="G62" i="1"/>
  <c r="F62" i="1"/>
  <c r="G61" i="1"/>
  <c r="F61" i="1"/>
  <c r="H61" i="1" s="1"/>
  <c r="J61" i="1" s="1"/>
  <c r="K61" i="1" s="1"/>
  <c r="G60" i="1"/>
  <c r="F60" i="1"/>
  <c r="H60" i="1" s="1"/>
  <c r="J60" i="1" s="1"/>
  <c r="K60" i="1" s="1"/>
  <c r="G59" i="1"/>
  <c r="F59" i="1"/>
  <c r="H59" i="1" s="1"/>
  <c r="J59" i="1" s="1"/>
  <c r="K59" i="1" s="1"/>
  <c r="G58" i="1"/>
  <c r="F58" i="1"/>
  <c r="H58" i="1" s="1"/>
  <c r="J58" i="1" s="1"/>
  <c r="K58" i="1" s="1"/>
  <c r="G57" i="1"/>
  <c r="F57" i="1"/>
  <c r="H57" i="1" s="1"/>
  <c r="J57" i="1" s="1"/>
  <c r="K57" i="1" s="1"/>
  <c r="H56" i="1"/>
  <c r="J56" i="1" s="1"/>
  <c r="K56" i="1" s="1"/>
  <c r="G56" i="1"/>
  <c r="F56" i="1"/>
  <c r="G55" i="1"/>
  <c r="H55" i="1" s="1"/>
  <c r="J55" i="1" s="1"/>
  <c r="K55" i="1" s="1"/>
  <c r="F55" i="1"/>
  <c r="G54" i="1"/>
  <c r="H54" i="1" s="1"/>
  <c r="J54" i="1" s="1"/>
  <c r="K54" i="1" s="1"/>
  <c r="F54" i="1"/>
  <c r="H53" i="1"/>
  <c r="J53" i="1" s="1"/>
  <c r="K53" i="1" s="1"/>
  <c r="G53" i="1"/>
  <c r="F53" i="1"/>
  <c r="H52" i="1"/>
  <c r="J52" i="1" s="1"/>
  <c r="K52" i="1" s="1"/>
  <c r="G52" i="1"/>
  <c r="F52" i="1"/>
  <c r="G51" i="1"/>
  <c r="H51" i="1" s="1"/>
  <c r="J51" i="1" s="1"/>
  <c r="K51" i="1" s="1"/>
  <c r="F51" i="1"/>
  <c r="G50" i="1"/>
  <c r="F50" i="1"/>
  <c r="H50" i="1" s="1"/>
  <c r="J50" i="1" s="1"/>
  <c r="K50" i="1" s="1"/>
  <c r="G49" i="1"/>
  <c r="F49" i="1"/>
  <c r="H49" i="1" s="1"/>
  <c r="J49" i="1" s="1"/>
  <c r="K49" i="1" s="1"/>
  <c r="J48" i="1"/>
  <c r="K48" i="1" s="1"/>
  <c r="H48" i="1"/>
  <c r="G48" i="1"/>
  <c r="F48" i="1"/>
  <c r="G47" i="1"/>
  <c r="F47" i="1"/>
  <c r="H47" i="1" s="1"/>
  <c r="J47" i="1" s="1"/>
  <c r="K47" i="1" s="1"/>
  <c r="G46" i="1"/>
  <c r="F46" i="1"/>
  <c r="H46" i="1" s="1"/>
  <c r="J46" i="1" s="1"/>
  <c r="K46" i="1" s="1"/>
  <c r="G45" i="1"/>
  <c r="F45" i="1"/>
  <c r="H45" i="1" s="1"/>
  <c r="J45" i="1" s="1"/>
  <c r="K45" i="1" s="1"/>
  <c r="G44" i="1"/>
  <c r="F44" i="1"/>
  <c r="H44" i="1" s="1"/>
  <c r="J44" i="1" s="1"/>
  <c r="K44" i="1" s="1"/>
  <c r="G43" i="1"/>
  <c r="F43" i="1"/>
  <c r="H43" i="1" s="1"/>
  <c r="J43" i="1" s="1"/>
  <c r="K43" i="1" s="1"/>
  <c r="G42" i="1"/>
  <c r="H42" i="1" s="1"/>
  <c r="J42" i="1" s="1"/>
  <c r="K42" i="1" s="1"/>
  <c r="F42" i="1"/>
  <c r="G41" i="1"/>
  <c r="H41" i="1" s="1"/>
  <c r="J41" i="1" s="1"/>
  <c r="K41" i="1" s="1"/>
  <c r="F41" i="1"/>
  <c r="G40" i="1"/>
  <c r="F40" i="1"/>
  <c r="H40" i="1" s="1"/>
  <c r="J40" i="1" s="1"/>
  <c r="K40" i="1" s="1"/>
  <c r="G39" i="1"/>
  <c r="F39" i="1"/>
  <c r="H39" i="1" s="1"/>
  <c r="J39" i="1" s="1"/>
  <c r="K39" i="1" s="1"/>
  <c r="H38" i="1"/>
  <c r="J38" i="1" s="1"/>
  <c r="K38" i="1" s="1"/>
  <c r="G38" i="1"/>
  <c r="F38" i="1"/>
  <c r="H37" i="1"/>
  <c r="J37" i="1" s="1"/>
  <c r="K37" i="1" s="1"/>
  <c r="G37" i="1"/>
  <c r="F37" i="1"/>
  <c r="G36" i="1"/>
  <c r="F36" i="1"/>
  <c r="H36" i="1" s="1"/>
  <c r="J36" i="1" s="1"/>
  <c r="K36" i="1" s="1"/>
  <c r="G35" i="1"/>
  <c r="F35" i="1"/>
  <c r="H35" i="1" s="1"/>
  <c r="J35" i="1" s="1"/>
  <c r="K35" i="1" s="1"/>
  <c r="H34" i="1"/>
  <c r="J34" i="1" s="1"/>
  <c r="K34" i="1" s="1"/>
  <c r="G34" i="1"/>
  <c r="F34" i="1"/>
  <c r="G33" i="1"/>
  <c r="F33" i="1"/>
  <c r="H33" i="1" s="1"/>
  <c r="J33" i="1" s="1"/>
  <c r="K33" i="1" s="1"/>
  <c r="G32" i="1"/>
  <c r="F32" i="1"/>
  <c r="H32" i="1" s="1"/>
  <c r="J32" i="1" s="1"/>
  <c r="K32" i="1" s="1"/>
  <c r="G31" i="1"/>
  <c r="F31" i="1"/>
  <c r="H31" i="1" s="1"/>
  <c r="J31" i="1" s="1"/>
  <c r="K31" i="1" s="1"/>
  <c r="G30" i="1"/>
  <c r="F30" i="1"/>
  <c r="H30" i="1" s="1"/>
  <c r="J30" i="1" s="1"/>
  <c r="K30" i="1" s="1"/>
  <c r="G29" i="1"/>
  <c r="F29" i="1"/>
  <c r="H29" i="1" s="1"/>
  <c r="J29" i="1" s="1"/>
  <c r="K29" i="1" s="1"/>
  <c r="H28" i="1"/>
  <c r="J28" i="1" s="1"/>
  <c r="K28" i="1" s="1"/>
  <c r="G28" i="1"/>
  <c r="F28" i="1"/>
  <c r="G27" i="1"/>
  <c r="H27" i="1" s="1"/>
  <c r="J27" i="1" s="1"/>
  <c r="K27" i="1" s="1"/>
  <c r="F27" i="1"/>
  <c r="G26" i="1"/>
  <c r="F26" i="1"/>
  <c r="H26" i="1" s="1"/>
  <c r="J26" i="1" s="1"/>
  <c r="K26" i="1" s="1"/>
  <c r="H25" i="1"/>
  <c r="J25" i="1" s="1"/>
  <c r="K25" i="1" s="1"/>
  <c r="G25" i="1"/>
  <c r="F25" i="1"/>
  <c r="H24" i="1"/>
  <c r="J24" i="1" s="1"/>
  <c r="K24" i="1" s="1"/>
  <c r="G24" i="1"/>
  <c r="F24" i="1"/>
  <c r="G23" i="1"/>
  <c r="H23" i="1" s="1"/>
  <c r="J23" i="1" s="1"/>
  <c r="K23" i="1" s="1"/>
  <c r="F23" i="1"/>
  <c r="G22" i="1"/>
  <c r="F22" i="1"/>
  <c r="H22" i="1" s="1"/>
  <c r="J22" i="1" s="1"/>
  <c r="K22" i="1" s="1"/>
  <c r="G21" i="1"/>
  <c r="F21" i="1"/>
  <c r="H21" i="1" s="1"/>
  <c r="J21" i="1" s="1"/>
  <c r="K21" i="1" s="1"/>
  <c r="H20" i="1"/>
  <c r="J20" i="1" s="1"/>
  <c r="K20" i="1" s="1"/>
  <c r="G20" i="1"/>
  <c r="F20" i="1"/>
  <c r="G19" i="1"/>
  <c r="F19" i="1"/>
  <c r="H19" i="1" s="1"/>
  <c r="J19" i="1" s="1"/>
  <c r="K19" i="1" s="1"/>
  <c r="G18" i="1"/>
  <c r="F18" i="1"/>
  <c r="H18" i="1" s="1"/>
  <c r="J18" i="1" s="1"/>
  <c r="K18" i="1" s="1"/>
  <c r="G17" i="1"/>
  <c r="F17" i="1"/>
  <c r="H17" i="1" s="1"/>
  <c r="J17" i="1" s="1"/>
  <c r="K17" i="1" s="1"/>
  <c r="G16" i="1"/>
  <c r="F16" i="1"/>
  <c r="H16" i="1" s="1"/>
  <c r="J16" i="1" s="1"/>
  <c r="K16" i="1" s="1"/>
  <c r="G15" i="1"/>
  <c r="F15" i="1"/>
  <c r="H15" i="1" s="1"/>
  <c r="J15" i="1" s="1"/>
  <c r="K15" i="1" s="1"/>
  <c r="G14" i="1"/>
  <c r="H14" i="1" s="1"/>
  <c r="J14" i="1" s="1"/>
  <c r="K14" i="1" s="1"/>
  <c r="F14" i="1"/>
  <c r="G13" i="1"/>
  <c r="H13" i="1" s="1"/>
  <c r="J13" i="1" s="1"/>
  <c r="K13" i="1" s="1"/>
  <c r="F13" i="1"/>
  <c r="G12" i="1"/>
  <c r="F12" i="1"/>
  <c r="H12" i="1" s="1"/>
  <c r="J12" i="1" s="1"/>
  <c r="K12" i="1" s="1"/>
  <c r="G11" i="1"/>
  <c r="F11" i="1"/>
  <c r="H11" i="1" s="1"/>
  <c r="J11" i="1" s="1"/>
  <c r="K11" i="1" s="1"/>
  <c r="H10" i="1"/>
  <c r="J10" i="1" s="1"/>
  <c r="K10" i="1" s="1"/>
  <c r="G10" i="1"/>
  <c r="F10" i="1"/>
  <c r="G9" i="1"/>
  <c r="H9" i="1" s="1"/>
  <c r="J9" i="1" s="1"/>
  <c r="K9" i="1" s="1"/>
  <c r="F9" i="1"/>
  <c r="G8" i="1"/>
  <c r="F8" i="1"/>
  <c r="H8" i="1" s="1"/>
  <c r="J8" i="1" s="1"/>
  <c r="K8" i="1" s="1"/>
  <c r="G7" i="1"/>
  <c r="F7" i="1"/>
  <c r="H7" i="1" s="1"/>
  <c r="J7" i="1" s="1"/>
  <c r="K7" i="1" s="1"/>
  <c r="H6" i="1"/>
  <c r="J6" i="1" s="1"/>
  <c r="K6" i="1" s="1"/>
  <c r="G6" i="1"/>
  <c r="F6" i="1"/>
  <c r="G5" i="1"/>
  <c r="F5" i="1"/>
  <c r="H5" i="1" s="1"/>
  <c r="J5" i="1" s="1"/>
  <c r="K5" i="1" s="1"/>
  <c r="G4" i="1"/>
  <c r="F4" i="1"/>
  <c r="H4" i="1" s="1"/>
  <c r="J4" i="1" s="1"/>
  <c r="K4" i="1" s="1"/>
  <c r="G3" i="1"/>
  <c r="F3" i="1"/>
  <c r="H3" i="1" s="1"/>
  <c r="J3" i="1" s="1"/>
  <c r="K3" i="1" s="1"/>
  <c r="G2" i="1"/>
  <c r="F2" i="1"/>
  <c r="H2" i="1" s="1"/>
  <c r="J2" i="1" s="1"/>
  <c r="B6" i="5" l="1"/>
  <c r="B5" i="5"/>
  <c r="B4" i="5"/>
  <c r="K2" i="1"/>
</calcChain>
</file>

<file path=xl/sharedStrings.xml><?xml version="1.0" encoding="utf-8"?>
<sst xmlns="http://schemas.openxmlformats.org/spreadsheetml/2006/main" count="344" uniqueCount="273">
  <si>
    <t>ID_Materiel</t>
  </si>
  <si>
    <t>Catégorie</t>
  </si>
  <si>
    <t>Désignation</t>
  </si>
  <si>
    <t>Localisation</t>
  </si>
  <si>
    <t>Stock_Initial</t>
  </si>
  <si>
    <t>Entrées</t>
  </si>
  <si>
    <t>Sorties</t>
  </si>
  <si>
    <t>Stock_Actuel</t>
  </si>
  <si>
    <t>Stock_Min</t>
  </si>
  <si>
    <t>Alerte</t>
  </si>
  <si>
    <t>Statut</t>
  </si>
  <si>
    <t>Numéros_de_série</t>
  </si>
  <si>
    <t>Détails</t>
  </si>
  <si>
    <t>IT-122-0001</t>
  </si>
  <si>
    <t>Box Otrum</t>
  </si>
  <si>
    <t>122</t>
  </si>
  <si>
    <t>Old otrum box</t>
  </si>
  <si>
    <t>IT-122-0002</t>
  </si>
  <si>
    <t>Clavier</t>
  </si>
  <si>
    <t>IT-122-0003</t>
  </si>
  <si>
    <t>Compteuse</t>
  </si>
  <si>
    <t>IT-122-0004</t>
  </si>
  <si>
    <t>Facture printer</t>
  </si>
  <si>
    <t>micros</t>
  </si>
  <si>
    <t>IT-122-0005</t>
  </si>
  <si>
    <t>Imprimantes HP</t>
  </si>
  <si>
    <t>Officejet</t>
  </si>
  <si>
    <t>IT-122-0006</t>
  </si>
  <si>
    <t>Mixte Cables</t>
  </si>
  <si>
    <t>N/A</t>
  </si>
  <si>
    <t>hdmi, Vga, display, power…</t>
  </si>
  <si>
    <t>IT-122-0007</t>
  </si>
  <si>
    <t>Moniteurs HDMI</t>
  </si>
  <si>
    <t>New monitor serie</t>
  </si>
  <si>
    <t>IT-122-0008</t>
  </si>
  <si>
    <t>PC</t>
  </si>
  <si>
    <t>Desktop HP</t>
  </si>
  <si>
    <t>IT-122-0009</t>
  </si>
  <si>
    <t>POS</t>
  </si>
  <si>
    <t>MICROS</t>
  </si>
  <si>
    <t>IT-122-0010</t>
  </si>
  <si>
    <t>Serveurs</t>
  </si>
  <si>
    <t>HP</t>
  </si>
  <si>
    <t>IT-122-0011</t>
  </si>
  <si>
    <t>Téléphone</t>
  </si>
  <si>
    <t>Old téléphone</t>
  </si>
  <si>
    <t>IT-133-0012</t>
  </si>
  <si>
    <t>Autres</t>
  </si>
  <si>
    <t>133</t>
  </si>
  <si>
    <t>IT-133-0013</t>
  </si>
  <si>
    <t>Autres Switch</t>
  </si>
  <si>
    <t>SG252IQ0KQ_J9146A</t>
  </si>
  <si>
    <t>HP 2910al-24G;PoE</t>
  </si>
  <si>
    <t>IT-133-0014</t>
  </si>
  <si>
    <t>Old box system</t>
  </si>
  <si>
    <t>IT-133-0015</t>
  </si>
  <si>
    <t>Cables</t>
  </si>
  <si>
    <t>IT-133-0016</t>
  </si>
  <si>
    <t>Old</t>
  </si>
  <si>
    <t>IT-133-0017</t>
  </si>
  <si>
    <t>Coffre fort</t>
  </si>
  <si>
    <t>IT-133-0018</t>
  </si>
  <si>
    <t>Ecran HDMI</t>
  </si>
  <si>
    <t>IT-133-0019</t>
  </si>
  <si>
    <t>HDMI</t>
  </si>
  <si>
    <t>Court 2 à 3 mètres</t>
  </si>
  <si>
    <t>IT-133-0020</t>
  </si>
  <si>
    <t>HP 280 G2</t>
  </si>
  <si>
    <t>IT-133-0021</t>
  </si>
  <si>
    <t>HP Compaq</t>
  </si>
  <si>
    <t>IT-133-0022</t>
  </si>
  <si>
    <t>HP Elite Desk</t>
  </si>
  <si>
    <t>IT-133-0023</t>
  </si>
  <si>
    <t>HP Pro</t>
  </si>
  <si>
    <t>IT-133-0024</t>
  </si>
  <si>
    <t>HP Prodesk</t>
  </si>
  <si>
    <t>IT-133-0025</t>
  </si>
  <si>
    <t>Imprimante HP</t>
  </si>
  <si>
    <t>HP Officejet 8730; laserJet P3015; laserJet Pro MFP 130 fw</t>
  </si>
  <si>
    <t>IT-133-0026</t>
  </si>
  <si>
    <t>Imprimantes</t>
  </si>
  <si>
    <t>IT-133-0027</t>
  </si>
  <si>
    <t>Moniteurs</t>
  </si>
  <si>
    <t>moniteur type VGA (old); moniteur type hdmi (old)</t>
  </si>
  <si>
    <t>IT-133-0028</t>
  </si>
  <si>
    <t>Piles 3V</t>
  </si>
  <si>
    <t>Kodak Uktra Lithium</t>
  </si>
  <si>
    <t>IT-133-0029</t>
  </si>
  <si>
    <t>Piles 9V</t>
  </si>
  <si>
    <t>Vartra LongLife</t>
  </si>
  <si>
    <t>IT-133-0030</t>
  </si>
  <si>
    <t>Piles AA</t>
  </si>
  <si>
    <t>IT-133-0031</t>
  </si>
  <si>
    <t>Piles AAA</t>
  </si>
  <si>
    <t>IT-133-0032</t>
  </si>
  <si>
    <t>Power</t>
  </si>
  <si>
    <t>Court 1 à 2 mètres</t>
  </si>
  <si>
    <t>IT-133-0033</t>
  </si>
  <si>
    <t>Souris</t>
  </si>
  <si>
    <t>IT-133-0034</t>
  </si>
  <si>
    <t>Switch Aruba</t>
  </si>
  <si>
    <t>CN36HKX0Z4_JL256</t>
  </si>
  <si>
    <t>48 Ports; PoE</t>
  </si>
  <si>
    <t>IT-133-0035</t>
  </si>
  <si>
    <t>TV 32 Pousses</t>
  </si>
  <si>
    <t>TV en état de maintenance</t>
  </si>
  <si>
    <t>IT-133-0036</t>
  </si>
  <si>
    <t>TV 40 pousse</t>
  </si>
  <si>
    <t>IT-133-0037</t>
  </si>
  <si>
    <t>TV 50 pousses</t>
  </si>
  <si>
    <t>IT-133-0038</t>
  </si>
  <si>
    <t>TV 55 pousses</t>
  </si>
  <si>
    <t>Old TV</t>
  </si>
  <si>
    <t>IT-133-0039</t>
  </si>
  <si>
    <t>TV 65 pousses</t>
  </si>
  <si>
    <t>New TV</t>
  </si>
  <si>
    <t>IT-133-0040</t>
  </si>
  <si>
    <t>IT-133-0041</t>
  </si>
  <si>
    <t>Téléphone IP</t>
  </si>
  <si>
    <t>IT-133-0042</t>
  </si>
  <si>
    <t>Téléphone chambre</t>
  </si>
  <si>
    <t>IT-133-0043</t>
  </si>
  <si>
    <t>VGA</t>
  </si>
  <si>
    <t>IT-133-0044</t>
  </si>
  <si>
    <t>safe</t>
  </si>
  <si>
    <t>Assa Abloy safe, OLD; Assa Abloy safe, brand new</t>
  </si>
  <si>
    <t>IT-BUREAU_IT-0045</t>
  </si>
  <si>
    <t>Box wifi</t>
  </si>
  <si>
    <t>Bureau IT</t>
  </si>
  <si>
    <t>box wifi n_9; 8 et 7; old n_4</t>
  </si>
  <si>
    <t>IT-BUREAU_IT-0046</t>
  </si>
  <si>
    <t>Box wifi Gabon télécom</t>
  </si>
  <si>
    <t>IT-BUREAU_IT-0047</t>
  </si>
  <si>
    <t>Cable tracker</t>
  </si>
  <si>
    <t>N/A; N/A</t>
  </si>
  <si>
    <t>1 old + 1 New cable tracker</t>
  </si>
  <si>
    <t>IT-BUREAU_IT-0048</t>
  </si>
  <si>
    <t>Cartouche Ricoh</t>
  </si>
  <si>
    <t>Business Centre; Ricoh Compta, 2 blacks</t>
  </si>
  <si>
    <t>IT-BUREAU_IT-0049</t>
  </si>
  <si>
    <t>Casque sans fil</t>
  </si>
  <si>
    <t>Protend Bluetooth</t>
  </si>
  <si>
    <t>IT-BUREAU_IT-0050</t>
  </si>
  <si>
    <t>Claviers</t>
  </si>
  <si>
    <t>New keyboard</t>
  </si>
  <si>
    <t>IT-BUREAU_IT-0051</t>
  </si>
  <si>
    <t>ClickShare</t>
  </si>
  <si>
    <t>ClickShare cx-20</t>
  </si>
  <si>
    <t>IT-BUREAU_IT-0052</t>
  </si>
  <si>
    <t>DISPLAY / VGA</t>
  </si>
  <si>
    <t>IT-BUREAU_IT-0053</t>
  </si>
  <si>
    <t>Display / HDMI</t>
  </si>
  <si>
    <t>IT-BUREAU_IT-0054</t>
  </si>
  <si>
    <t>HDMI / VGA</t>
  </si>
  <si>
    <t>IT-BUREAU_IT-0055</t>
  </si>
  <si>
    <t>Mini display /hdmi</t>
  </si>
  <si>
    <t>IT-BUREAU_IT-0056</t>
  </si>
  <si>
    <t>New Laptop</t>
  </si>
  <si>
    <t>5CG44846FZ</t>
  </si>
  <si>
    <t>HP EliteBook 840 14 inch G10 Notebook pc</t>
  </si>
  <si>
    <t>IT-BUREAU_IT-0057</t>
  </si>
  <si>
    <t>Old Laptop</t>
  </si>
  <si>
    <t>HP Koffi; Old HP LT + LT Lenovo</t>
  </si>
  <si>
    <t>IT-BUREAU_IT-0058</t>
  </si>
  <si>
    <t>Old casque</t>
  </si>
  <si>
    <t>Logitech</t>
  </si>
  <si>
    <t>IT-BUREAU_IT-0059</t>
  </si>
  <si>
    <t>PC mini Desktop</t>
  </si>
  <si>
    <t>Mini HP black i7 core</t>
  </si>
  <si>
    <t>IT-BUREAU_IT-0060</t>
  </si>
  <si>
    <t>Pointeurs</t>
  </si>
  <si>
    <t>Logitech; pp-02</t>
  </si>
  <si>
    <t>IT-BUREAU_IT-0061</t>
  </si>
  <si>
    <t>Souris sans fil</t>
  </si>
  <si>
    <t>IT-BUREAU_IT-0062</t>
  </si>
  <si>
    <t>TYPE-C/HDMI/USB</t>
  </si>
  <si>
    <t>IT-BUREAU_IT-0063</t>
  </si>
  <si>
    <t>Type -C/Multiports</t>
  </si>
  <si>
    <t>Multiports=réseau/hdmi/usb/c</t>
  </si>
  <si>
    <t>IT-BUREAU_IT-0064</t>
  </si>
  <si>
    <t>Type-c / hdmi</t>
  </si>
  <si>
    <t>IT-BUREAU_IT-0065</t>
  </si>
  <si>
    <t>Usb / Hdmi</t>
  </si>
  <si>
    <t>IT-BUREAU_IT-0066</t>
  </si>
  <si>
    <t>Usb / Réseau</t>
  </si>
  <si>
    <t>IT-BUREAU_IT-0067</t>
  </si>
  <si>
    <t>Usb hub</t>
  </si>
  <si>
    <t>4 ports</t>
  </si>
  <si>
    <t>IT-BUREAU_IT-0068</t>
  </si>
  <si>
    <t>Visio all-in-one mini</t>
  </si>
  <si>
    <t>IT-BUREAU_IT-0069</t>
  </si>
  <si>
    <t>Visio conférence</t>
  </si>
  <si>
    <t>IT-BUREAU_IT-0070</t>
  </si>
  <si>
    <t>Wireless speaker</t>
  </si>
  <si>
    <t>Charge 4</t>
  </si>
  <si>
    <t>IT-SONO-0071</t>
  </si>
  <si>
    <t>Sono</t>
  </si>
  <si>
    <t>3*20m / 4*10 m; Rangé dans le carton</t>
  </si>
  <si>
    <t>IT-SONO-0072</t>
  </si>
  <si>
    <t>Jack sono</t>
  </si>
  <si>
    <t>IT-SONO-0073</t>
  </si>
  <si>
    <t>Multiprises</t>
  </si>
  <si>
    <t>Multiports; Tourelles 3*5m/ 4*10m</t>
  </si>
  <si>
    <t>IT-SONO-0074</t>
  </si>
  <si>
    <t>Réseau</t>
  </si>
  <si>
    <t>plus de 10 mètres</t>
  </si>
  <si>
    <t>IT-SONO-0075</t>
  </si>
  <si>
    <t>Spliters</t>
  </si>
  <si>
    <t>1 input + 4 output; 1 port input + 8 output; 2 input + 4 output</t>
  </si>
  <si>
    <t>IT-SONO-0076</t>
  </si>
  <si>
    <t>Télécommande</t>
  </si>
  <si>
    <t>projecteur Epson</t>
  </si>
  <si>
    <t>IT-SONO-0077</t>
  </si>
  <si>
    <t>Vidéo projecteurs</t>
  </si>
  <si>
    <t>Hdmi HS</t>
  </si>
  <si>
    <t>Date</t>
  </si>
  <si>
    <t>Référence</t>
  </si>
  <si>
    <t>Action</t>
  </si>
  <si>
    <t>Quantité</t>
  </si>
  <si>
    <t>Motif</t>
  </si>
  <si>
    <t>Responsable</t>
  </si>
  <si>
    <t>Commentaire</t>
  </si>
  <si>
    <t>REF-0001</t>
  </si>
  <si>
    <t>ENTREE</t>
  </si>
  <si>
    <t>Achat</t>
  </si>
  <si>
    <t>Exemple (supprimer)</t>
  </si>
  <si>
    <t>Employé</t>
  </si>
  <si>
    <t>Département</t>
  </si>
  <si>
    <t>État</t>
  </si>
  <si>
    <t>Date_Retour_Prévue</t>
  </si>
  <si>
    <t>Alertes stock (auto)</t>
  </si>
  <si>
    <t>Tableau de bord — Stock IT</t>
  </si>
  <si>
    <t>Total références</t>
  </si>
  <si>
    <t>Références en stock critique</t>
  </si>
  <si>
    <t>Références en stock bas</t>
  </si>
  <si>
    <t>Références OK</t>
  </si>
  <si>
    <t>Listes (ne pas supprimer)</t>
  </si>
  <si>
    <t>Statuts</t>
  </si>
  <si>
    <t>Actions</t>
  </si>
  <si>
    <t>Motifs</t>
  </si>
  <si>
    <t>Categories</t>
  </si>
  <si>
    <t>Localisations</t>
  </si>
  <si>
    <t>OK</t>
  </si>
  <si>
    <t>Périphérique</t>
  </si>
  <si>
    <t>HS</t>
  </si>
  <si>
    <t>SORTIE</t>
  </si>
  <si>
    <t>Transfert</t>
  </si>
  <si>
    <t>EN_REPARATION</t>
  </si>
  <si>
    <t>AJUSTEMENT</t>
  </si>
  <si>
    <t>Attribution</t>
  </si>
  <si>
    <t>Serveur</t>
  </si>
  <si>
    <t>PERDU</t>
  </si>
  <si>
    <t>Retour</t>
  </si>
  <si>
    <t>Téléphonie</t>
  </si>
  <si>
    <t>REBUT</t>
  </si>
  <si>
    <t>Panne</t>
  </si>
  <si>
    <t>Impression</t>
  </si>
  <si>
    <t>Radisson Blu</t>
  </si>
  <si>
    <t>Perte</t>
  </si>
  <si>
    <t>Stockage</t>
  </si>
  <si>
    <t>Park Inn</t>
  </si>
  <si>
    <t>Inventaire</t>
  </si>
  <si>
    <t>Câblage</t>
  </si>
  <si>
    <t>Autre</t>
  </si>
  <si>
    <t>Guide d’utilisation (Radisson IT Dept)</t>
  </si>
  <si>
    <t>1) Ajoute/retire du stock uniquement via la feuille MOUVEMENTS_STOCK.</t>
  </si>
  <si>
    <t xml:space="preserve">   - Action ENTREE : Quantité positive</t>
  </si>
  <si>
    <t xml:space="preserve">   - Action SORTIE : Quantité positive (sera soustraite automatiquement)</t>
  </si>
  <si>
    <t>2) Ne modifie pas les formules dans INVENTAIRE (colonnes Entrées/Sorties/Stock_Actuel/Alerte).</t>
  </si>
  <si>
    <t>3) Complète Stock_Min par référence pour activer des alertes pertinentes.</t>
  </si>
  <si>
    <t>4) Utilise ATTRIBUTIONS pour tracer qui possède quel matériel (prêts/attributions).</t>
  </si>
  <si>
    <t>5) La feuille ALERTES se met à jour automatiquement (Excel 365 recommandé).</t>
  </si>
  <si>
    <t>6) Migration Django : export CSV de INVENTAIRE + MOUVEMENTS_STOCK + ATTRIBUTIONS.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</si>
</sst>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 applyNumberFormat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tabSelected="1" workbookViewId="0">
      <pane ySplit="1" topLeftCell="A2" activePane="bottomLeft" state="frozen"/>
      <selection pane="bottomLeft" activeCell="E14" sqref="E14"/>
    </sheetView>
  </sheetViews>
  <sheetFormatPr baseColWidth="10" defaultColWidth="9.140625" defaultRowHeight="15" x14ac:dyDescent="0.25"/>
  <cols>
    <col min="1" max="1" width="19" customWidth="1"/>
    <col min="2" max="2" width="12" customWidth="1"/>
    <col min="3" max="3" width="24" customWidth="1"/>
    <col min="4" max="4" width="14" customWidth="1"/>
    <col min="5" max="5" width="15" customWidth="1"/>
    <col min="6" max="7" width="45" customWidth="1"/>
    <col min="8" max="8" width="14" customWidth="1"/>
    <col min="9" max="9" width="12" customWidth="1"/>
    <col min="10" max="11" width="45" customWidth="1"/>
    <col min="12" max="12" width="19" customWidth="1"/>
    <col min="13" max="13" width="4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/>
      <c r="C2" s="2" t="s">
        <v>14</v>
      </c>
      <c r="D2" s="9">
        <v>122</v>
      </c>
      <c r="E2" s="2">
        <v>0</v>
      </c>
      <c r="F2" s="2">
        <f>IFERROR(SUMIFS(MOUVEMENTS_STOCK!$E:$E,MOUVEMENTS_STOCK!$C:$C,A2,MOUVEMENTS_STOCK!$D:$D,"ENTREE"),0)</f>
        <v>1</v>
      </c>
      <c r="G2" s="2">
        <f>IFERROR(SUMIFS(MOUVEMENTS_STOCK!$E:$E,MOUVEMENTS_STOCK!$C:$C,A2,MOUVEMENTS_STOCK!$D:$D,"SORTIE"),0)</f>
        <v>0</v>
      </c>
      <c r="H2" s="2">
        <f t="shared" ref="H2:H33" si="0">E2+F2-G2</f>
        <v>1</v>
      </c>
      <c r="I2" s="2">
        <v>1</v>
      </c>
      <c r="J2" s="2" t="str">
        <f t="shared" ref="J2:J33" si="1">IF(H2&lt;=I2,"CRITIQUE",IF(H2&lt;=I2+1,"BAS","OK"))</f>
        <v>CRITIQUE</v>
      </c>
      <c r="K2" s="2" t="str">
        <f t="shared" ref="K2:K33" si="2">IF(J2="CRITIQUE","A_REAPPROVISIONNER",IF(J2="BAS","SURVEILLER","OK"))</f>
        <v>A_REAPPROVISIONNER</v>
      </c>
      <c r="L2" s="2"/>
      <c r="M2" s="2" t="s">
        <v>16</v>
      </c>
    </row>
    <row r="3" spans="1:13" x14ac:dyDescent="0.25">
      <c r="A3" s="2" t="s">
        <v>17</v>
      </c>
      <c r="B3" s="2"/>
      <c r="C3" s="2" t="s">
        <v>18</v>
      </c>
      <c r="D3" s="9">
        <v>122</v>
      </c>
      <c r="E3" s="2">
        <v>0</v>
      </c>
      <c r="F3" s="2">
        <f>IFERROR(SUMIFS(MOUVEMENTS_STOCK!$E:$E,MOUVEMENTS_STOCK!$C:$C,A3,MOUVEMENTS_STOCK!$D:$D,"ENTREE"),0)</f>
        <v>0</v>
      </c>
      <c r="G3" s="2">
        <f>IFERROR(SUMIFS(MOUVEMENTS_STOCK!$E:$E,MOUVEMENTS_STOCK!$C:$C,A3,MOUVEMENTS_STOCK!$D:$D,"SORTIE"),0)</f>
        <v>0</v>
      </c>
      <c r="H3" s="2">
        <f t="shared" si="0"/>
        <v>0</v>
      </c>
      <c r="I3" s="2">
        <v>1</v>
      </c>
      <c r="J3" s="2" t="str">
        <f t="shared" si="1"/>
        <v>CRITIQUE</v>
      </c>
      <c r="K3" s="2" t="str">
        <f t="shared" si="2"/>
        <v>A_REAPPROVISIONNER</v>
      </c>
      <c r="L3" s="2"/>
      <c r="M3" s="2"/>
    </row>
    <row r="4" spans="1:13" x14ac:dyDescent="0.25">
      <c r="A4" s="2" t="s">
        <v>19</v>
      </c>
      <c r="B4" s="2"/>
      <c r="C4" s="2" t="s">
        <v>20</v>
      </c>
      <c r="D4" s="9">
        <v>122</v>
      </c>
      <c r="E4" s="2">
        <v>2</v>
      </c>
      <c r="F4" s="2">
        <f>IFERROR(SUMIFS(MOUVEMENTS_STOCK!$E:$E,MOUVEMENTS_STOCK!$C:$C,A4,MOUVEMENTS_STOCK!$D:$D,"ENTREE"),0)</f>
        <v>0</v>
      </c>
      <c r="G4" s="2">
        <f>IFERROR(SUMIFS(MOUVEMENTS_STOCK!$E:$E,MOUVEMENTS_STOCK!$C:$C,A4,MOUVEMENTS_STOCK!$D:$D,"SORTIE"),0)</f>
        <v>0</v>
      </c>
      <c r="H4" s="2">
        <f t="shared" si="0"/>
        <v>2</v>
      </c>
      <c r="I4" s="2">
        <v>2</v>
      </c>
      <c r="J4" s="2" t="str">
        <f t="shared" si="1"/>
        <v>CRITIQUE</v>
      </c>
      <c r="K4" s="2" t="str">
        <f t="shared" si="2"/>
        <v>A_REAPPROVISIONNER</v>
      </c>
      <c r="L4" s="2"/>
      <c r="M4" s="2"/>
    </row>
    <row r="5" spans="1:13" x14ac:dyDescent="0.25">
      <c r="A5" s="2" t="s">
        <v>21</v>
      </c>
      <c r="B5" s="2"/>
      <c r="C5" s="2" t="s">
        <v>22</v>
      </c>
      <c r="D5" s="9">
        <v>122</v>
      </c>
      <c r="E5" s="2">
        <v>3</v>
      </c>
      <c r="F5" s="2">
        <f>IFERROR(SUMIFS(MOUVEMENTS_STOCK!$E:$E,MOUVEMENTS_STOCK!$C:$C,A5,MOUVEMENTS_STOCK!$D:$D,"ENTREE"),0)</f>
        <v>0</v>
      </c>
      <c r="G5" s="2">
        <f>IFERROR(SUMIFS(MOUVEMENTS_STOCK!$E:$E,MOUVEMENTS_STOCK!$C:$C,A5,MOUVEMENTS_STOCK!$D:$D,"SORTIE"),0)</f>
        <v>0</v>
      </c>
      <c r="H5" s="2">
        <f t="shared" si="0"/>
        <v>3</v>
      </c>
      <c r="I5" s="2">
        <v>2</v>
      </c>
      <c r="J5" s="2" t="str">
        <f t="shared" si="1"/>
        <v>BAS</v>
      </c>
      <c r="K5" s="2" t="str">
        <f t="shared" si="2"/>
        <v>SURVEILLER</v>
      </c>
      <c r="L5" s="2"/>
      <c r="M5" s="2" t="s">
        <v>23</v>
      </c>
    </row>
    <row r="6" spans="1:13" x14ac:dyDescent="0.25">
      <c r="A6" s="2" t="s">
        <v>24</v>
      </c>
      <c r="B6" s="2"/>
      <c r="C6" s="2" t="s">
        <v>25</v>
      </c>
      <c r="D6" s="9">
        <v>122</v>
      </c>
      <c r="E6" s="2">
        <v>16</v>
      </c>
      <c r="F6" s="2">
        <f>IFERROR(SUMIFS(MOUVEMENTS_STOCK!$E:$E,MOUVEMENTS_STOCK!$C:$C,A6,MOUVEMENTS_STOCK!$D:$D,"ENTREE"),0)</f>
        <v>0</v>
      </c>
      <c r="G6" s="2">
        <f>IFERROR(SUMIFS(MOUVEMENTS_STOCK!$E:$E,MOUVEMENTS_STOCK!$C:$C,A6,MOUVEMENTS_STOCK!$D:$D,"SORTIE"),0)</f>
        <v>0</v>
      </c>
      <c r="H6" s="2">
        <f t="shared" si="0"/>
        <v>16</v>
      </c>
      <c r="I6" s="2">
        <v>2</v>
      </c>
      <c r="J6" s="2" t="str">
        <f t="shared" si="1"/>
        <v>OK</v>
      </c>
      <c r="K6" s="2" t="str">
        <f t="shared" si="2"/>
        <v>OK</v>
      </c>
      <c r="L6" s="2"/>
      <c r="M6" s="2" t="s">
        <v>26</v>
      </c>
    </row>
    <row r="7" spans="1:13" x14ac:dyDescent="0.25">
      <c r="A7" s="2" t="s">
        <v>27</v>
      </c>
      <c r="B7" s="2"/>
      <c r="C7" s="2" t="s">
        <v>28</v>
      </c>
      <c r="D7" s="9">
        <v>122</v>
      </c>
      <c r="E7" s="2">
        <v>0</v>
      </c>
      <c r="F7" s="2">
        <f>IFERROR(SUMIFS(MOUVEMENTS_STOCK!$E:$E,MOUVEMENTS_STOCK!$C:$C,A7,MOUVEMENTS_STOCK!$D:$D,"ENTREE"),0)</f>
        <v>0</v>
      </c>
      <c r="G7" s="2">
        <f>IFERROR(SUMIFS(MOUVEMENTS_STOCK!$E:$E,MOUVEMENTS_STOCK!$C:$C,A7,MOUVEMENTS_STOCK!$D:$D,"SORTIE"),0)</f>
        <v>0</v>
      </c>
      <c r="H7" s="2">
        <f t="shared" si="0"/>
        <v>0</v>
      </c>
      <c r="I7" s="2">
        <v>1</v>
      </c>
      <c r="J7" s="2" t="str">
        <f t="shared" si="1"/>
        <v>CRITIQUE</v>
      </c>
      <c r="K7" s="2" t="str">
        <f t="shared" si="2"/>
        <v>A_REAPPROVISIONNER</v>
      </c>
      <c r="L7" s="2" t="s">
        <v>29</v>
      </c>
      <c r="M7" s="2" t="s">
        <v>30</v>
      </c>
    </row>
    <row r="8" spans="1:13" x14ac:dyDescent="0.25">
      <c r="A8" s="2" t="s">
        <v>31</v>
      </c>
      <c r="B8" s="2"/>
      <c r="C8" s="2" t="s">
        <v>32</v>
      </c>
      <c r="D8" s="9">
        <v>122</v>
      </c>
      <c r="E8" s="2">
        <v>4</v>
      </c>
      <c r="F8" s="2">
        <f>IFERROR(SUMIFS(MOUVEMENTS_STOCK!$E:$E,MOUVEMENTS_STOCK!$C:$C,A8,MOUVEMENTS_STOCK!$D:$D,"ENTREE"),0)</f>
        <v>0</v>
      </c>
      <c r="G8" s="2">
        <f>IFERROR(SUMIFS(MOUVEMENTS_STOCK!$E:$E,MOUVEMENTS_STOCK!$C:$C,A8,MOUVEMENTS_STOCK!$D:$D,"SORTIE"),0)</f>
        <v>0</v>
      </c>
      <c r="H8" s="2">
        <f t="shared" si="0"/>
        <v>4</v>
      </c>
      <c r="I8" s="2">
        <v>2</v>
      </c>
      <c r="J8" s="2" t="str">
        <f t="shared" si="1"/>
        <v>OK</v>
      </c>
      <c r="K8" s="2" t="str">
        <f t="shared" si="2"/>
        <v>OK</v>
      </c>
      <c r="L8" s="2"/>
      <c r="M8" s="2" t="s">
        <v>33</v>
      </c>
    </row>
    <row r="9" spans="1:13" x14ac:dyDescent="0.25">
      <c r="A9" s="2" t="s">
        <v>34</v>
      </c>
      <c r="B9" s="2"/>
      <c r="C9" s="2" t="s">
        <v>35</v>
      </c>
      <c r="D9" s="9">
        <v>122</v>
      </c>
      <c r="E9" s="2">
        <v>11</v>
      </c>
      <c r="F9" s="2">
        <f>IFERROR(SUMIFS(MOUVEMENTS_STOCK!$E:$E,MOUVEMENTS_STOCK!$C:$C,A9,MOUVEMENTS_STOCK!$D:$D,"ENTREE"),0)</f>
        <v>0</v>
      </c>
      <c r="G9" s="2">
        <f>IFERROR(SUMIFS(MOUVEMENTS_STOCK!$E:$E,MOUVEMENTS_STOCK!$C:$C,A9,MOUVEMENTS_STOCK!$D:$D,"SORTIE"),0)</f>
        <v>0</v>
      </c>
      <c r="H9" s="2">
        <f t="shared" si="0"/>
        <v>11</v>
      </c>
      <c r="I9" s="2">
        <v>2</v>
      </c>
      <c r="J9" s="2" t="str">
        <f t="shared" si="1"/>
        <v>OK</v>
      </c>
      <c r="K9" s="2" t="str">
        <f t="shared" si="2"/>
        <v>OK</v>
      </c>
      <c r="L9" s="2"/>
      <c r="M9" s="2" t="s">
        <v>36</v>
      </c>
    </row>
    <row r="10" spans="1:13" x14ac:dyDescent="0.25">
      <c r="A10" s="2" t="s">
        <v>37</v>
      </c>
      <c r="B10" s="2"/>
      <c r="C10" s="2" t="s">
        <v>38</v>
      </c>
      <c r="D10" s="9">
        <v>122</v>
      </c>
      <c r="E10" s="2">
        <v>6</v>
      </c>
      <c r="F10" s="2">
        <f>IFERROR(SUMIFS(MOUVEMENTS_STOCK!$E:$E,MOUVEMENTS_STOCK!$C:$C,A10,MOUVEMENTS_STOCK!$D:$D,"ENTREE"),0)</f>
        <v>0</v>
      </c>
      <c r="G10" s="2">
        <f>IFERROR(SUMIFS(MOUVEMENTS_STOCK!$E:$E,MOUVEMENTS_STOCK!$C:$C,A10,MOUVEMENTS_STOCK!$D:$D,"SORTIE"),0)</f>
        <v>0</v>
      </c>
      <c r="H10" s="2">
        <f t="shared" si="0"/>
        <v>6</v>
      </c>
      <c r="I10" s="2">
        <v>2</v>
      </c>
      <c r="J10" s="2" t="str">
        <f t="shared" si="1"/>
        <v>OK</v>
      </c>
      <c r="K10" s="2" t="str">
        <f t="shared" si="2"/>
        <v>OK</v>
      </c>
      <c r="L10" s="2"/>
      <c r="M10" s="2" t="s">
        <v>39</v>
      </c>
    </row>
    <row r="11" spans="1:13" x14ac:dyDescent="0.25">
      <c r="A11" s="2" t="s">
        <v>40</v>
      </c>
      <c r="B11" s="2"/>
      <c r="C11" s="2" t="s">
        <v>41</v>
      </c>
      <c r="D11" s="9">
        <v>122</v>
      </c>
      <c r="E11" s="2">
        <v>2</v>
      </c>
      <c r="F11" s="2">
        <f>IFERROR(SUMIFS(MOUVEMENTS_STOCK!$E:$E,MOUVEMENTS_STOCK!$C:$C,A11,MOUVEMENTS_STOCK!$D:$D,"ENTREE"),0)</f>
        <v>0</v>
      </c>
      <c r="G11" s="2">
        <f>IFERROR(SUMIFS(MOUVEMENTS_STOCK!$E:$E,MOUVEMENTS_STOCK!$C:$C,A11,MOUVEMENTS_STOCK!$D:$D,"SORTIE"),0)</f>
        <v>0</v>
      </c>
      <c r="H11" s="2">
        <f t="shared" si="0"/>
        <v>2</v>
      </c>
      <c r="I11" s="2">
        <v>2</v>
      </c>
      <c r="J11" s="2" t="str">
        <f t="shared" si="1"/>
        <v>CRITIQUE</v>
      </c>
      <c r="K11" s="2" t="str">
        <f t="shared" si="2"/>
        <v>A_REAPPROVISIONNER</v>
      </c>
      <c r="L11" s="2"/>
      <c r="M11" s="2" t="s">
        <v>42</v>
      </c>
    </row>
    <row r="12" spans="1:13" x14ac:dyDescent="0.25">
      <c r="A12" s="2" t="s">
        <v>43</v>
      </c>
      <c r="B12" s="2"/>
      <c r="C12" s="2" t="s">
        <v>44</v>
      </c>
      <c r="D12" s="9">
        <v>122</v>
      </c>
      <c r="E12" s="2">
        <v>0</v>
      </c>
      <c r="F12" s="2">
        <f>IFERROR(SUMIFS(MOUVEMENTS_STOCK!$E:$E,MOUVEMENTS_STOCK!$C:$C,A12,MOUVEMENTS_STOCK!$D:$D,"ENTREE"),0)</f>
        <v>0</v>
      </c>
      <c r="G12" s="2">
        <f>IFERROR(SUMIFS(MOUVEMENTS_STOCK!$E:$E,MOUVEMENTS_STOCK!$C:$C,A12,MOUVEMENTS_STOCK!$D:$D,"SORTIE"),0)</f>
        <v>0</v>
      </c>
      <c r="H12" s="2">
        <f t="shared" si="0"/>
        <v>0</v>
      </c>
      <c r="I12" s="2">
        <v>1</v>
      </c>
      <c r="J12" s="2" t="str">
        <f t="shared" si="1"/>
        <v>CRITIQUE</v>
      </c>
      <c r="K12" s="2" t="str">
        <f t="shared" si="2"/>
        <v>A_REAPPROVISIONNER</v>
      </c>
      <c r="L12" s="2"/>
      <c r="M12" s="2" t="s">
        <v>45</v>
      </c>
    </row>
    <row r="13" spans="1:13" x14ac:dyDescent="0.25">
      <c r="A13" s="2" t="s">
        <v>46</v>
      </c>
      <c r="B13" s="2"/>
      <c r="C13" s="2" t="s">
        <v>47</v>
      </c>
      <c r="D13" s="9">
        <v>133</v>
      </c>
      <c r="E13" s="2">
        <v>0</v>
      </c>
      <c r="F13" s="2">
        <f>IFERROR(SUMIFS(MOUVEMENTS_STOCK!$E:$E,MOUVEMENTS_STOCK!$C:$C,A13,MOUVEMENTS_STOCK!$D:$D,"ENTREE"),0)</f>
        <v>0</v>
      </c>
      <c r="G13" s="2">
        <f>IFERROR(SUMIFS(MOUVEMENTS_STOCK!$E:$E,MOUVEMENTS_STOCK!$C:$C,A13,MOUVEMENTS_STOCK!$D:$D,"SORTIE"),0)</f>
        <v>0</v>
      </c>
      <c r="H13" s="2">
        <f t="shared" si="0"/>
        <v>0</v>
      </c>
      <c r="I13" s="2">
        <v>1</v>
      </c>
      <c r="J13" s="2" t="str">
        <f t="shared" si="1"/>
        <v>CRITIQUE</v>
      </c>
      <c r="K13" s="2" t="str">
        <f t="shared" si="2"/>
        <v>A_REAPPROVISIONNER</v>
      </c>
      <c r="L13" s="2"/>
      <c r="M13" s="2"/>
    </row>
    <row r="14" spans="1:13" x14ac:dyDescent="0.25">
      <c r="A14" s="2" t="s">
        <v>49</v>
      </c>
      <c r="B14" s="2"/>
      <c r="C14" s="2" t="s">
        <v>50</v>
      </c>
      <c r="D14" s="9">
        <v>133</v>
      </c>
      <c r="E14" s="2">
        <v>6</v>
      </c>
      <c r="F14" s="2">
        <f>IFERROR(SUMIFS(MOUVEMENTS_STOCK!$E:$E,MOUVEMENTS_STOCK!$C:$C,A14,MOUVEMENTS_STOCK!$D:$D,"ENTREE"),0)</f>
        <v>0</v>
      </c>
      <c r="G14" s="2">
        <f>IFERROR(SUMIFS(MOUVEMENTS_STOCK!$E:$E,MOUVEMENTS_STOCK!$C:$C,A14,MOUVEMENTS_STOCK!$D:$D,"SORTIE"),0)</f>
        <v>0</v>
      </c>
      <c r="H14" s="2">
        <f t="shared" si="0"/>
        <v>6</v>
      </c>
      <c r="I14" s="2">
        <v>2</v>
      </c>
      <c r="J14" s="2" t="str">
        <f t="shared" si="1"/>
        <v>OK</v>
      </c>
      <c r="K14" s="2" t="str">
        <f t="shared" si="2"/>
        <v>OK</v>
      </c>
      <c r="L14" s="2" t="s">
        <v>51</v>
      </c>
      <c r="M14" s="2" t="s">
        <v>52</v>
      </c>
    </row>
    <row r="15" spans="1:13" x14ac:dyDescent="0.25">
      <c r="A15" s="2" t="s">
        <v>53</v>
      </c>
      <c r="B15" s="2"/>
      <c r="C15" s="2" t="s">
        <v>14</v>
      </c>
      <c r="D15" s="9">
        <v>122</v>
      </c>
      <c r="E15" s="2">
        <v>10</v>
      </c>
      <c r="F15" s="2">
        <f>IFERROR(SUMIFS(MOUVEMENTS_STOCK!$E:$E,MOUVEMENTS_STOCK!$C:$C,A15,MOUVEMENTS_STOCK!$D:$D,"ENTREE"),0)</f>
        <v>0</v>
      </c>
      <c r="G15" s="2">
        <f>IFERROR(SUMIFS(MOUVEMENTS_STOCK!$E:$E,MOUVEMENTS_STOCK!$C:$C,A15,MOUVEMENTS_STOCK!$D:$D,"SORTIE"),0)</f>
        <v>0</v>
      </c>
      <c r="H15" s="2">
        <f t="shared" si="0"/>
        <v>10</v>
      </c>
      <c r="I15" s="2">
        <v>2</v>
      </c>
      <c r="J15" s="2" t="str">
        <f t="shared" si="1"/>
        <v>OK</v>
      </c>
      <c r="K15" s="2" t="str">
        <f t="shared" si="2"/>
        <v>OK</v>
      </c>
      <c r="L15" s="2" t="s">
        <v>29</v>
      </c>
      <c r="M15" s="2" t="s">
        <v>54</v>
      </c>
    </row>
    <row r="16" spans="1:13" x14ac:dyDescent="0.25">
      <c r="A16" s="2" t="s">
        <v>55</v>
      </c>
      <c r="B16" s="2"/>
      <c r="C16" s="2" t="s">
        <v>56</v>
      </c>
      <c r="D16" s="9">
        <v>133</v>
      </c>
      <c r="E16" s="2">
        <v>0</v>
      </c>
      <c r="F16" s="2">
        <f>IFERROR(SUMIFS(MOUVEMENTS_STOCK!$E:$E,MOUVEMENTS_STOCK!$C:$C,A16,MOUVEMENTS_STOCK!$D:$D,"ENTREE"),0)</f>
        <v>0</v>
      </c>
      <c r="G16" s="2">
        <f>IFERROR(SUMIFS(MOUVEMENTS_STOCK!$E:$E,MOUVEMENTS_STOCK!$C:$C,A16,MOUVEMENTS_STOCK!$D:$D,"SORTIE"),0)</f>
        <v>0</v>
      </c>
      <c r="H16" s="2">
        <f t="shared" si="0"/>
        <v>0</v>
      </c>
      <c r="I16" s="2">
        <v>1</v>
      </c>
      <c r="J16" s="2" t="str">
        <f t="shared" si="1"/>
        <v>CRITIQUE</v>
      </c>
      <c r="K16" s="2" t="str">
        <f t="shared" si="2"/>
        <v>A_REAPPROVISIONNER</v>
      </c>
      <c r="L16" s="2"/>
      <c r="M16" s="2"/>
    </row>
    <row r="17" spans="1:13" x14ac:dyDescent="0.25">
      <c r="A17" s="2" t="s">
        <v>57</v>
      </c>
      <c r="B17" s="2"/>
      <c r="C17" s="2" t="s">
        <v>18</v>
      </c>
      <c r="D17" s="9">
        <v>133</v>
      </c>
      <c r="E17" s="2">
        <v>20</v>
      </c>
      <c r="F17" s="2">
        <f>IFERROR(SUMIFS(MOUVEMENTS_STOCK!$E:$E,MOUVEMENTS_STOCK!$C:$C,A17,MOUVEMENTS_STOCK!$D:$D,"ENTREE"),0)</f>
        <v>0</v>
      </c>
      <c r="G17" s="2">
        <f>IFERROR(SUMIFS(MOUVEMENTS_STOCK!$E:$E,MOUVEMENTS_STOCK!$C:$C,A17,MOUVEMENTS_STOCK!$D:$D,"SORTIE"),0)</f>
        <v>0</v>
      </c>
      <c r="H17" s="2">
        <f t="shared" si="0"/>
        <v>20</v>
      </c>
      <c r="I17" s="2">
        <v>2</v>
      </c>
      <c r="J17" s="2" t="str">
        <f t="shared" si="1"/>
        <v>OK</v>
      </c>
      <c r="K17" s="2" t="str">
        <f t="shared" si="2"/>
        <v>OK</v>
      </c>
      <c r="L17" s="2" t="s">
        <v>29</v>
      </c>
      <c r="M17" s="2" t="s">
        <v>58</v>
      </c>
    </row>
    <row r="18" spans="1:13" x14ac:dyDescent="0.25">
      <c r="A18" s="2" t="s">
        <v>59</v>
      </c>
      <c r="B18" s="2"/>
      <c r="C18" s="2" t="s">
        <v>60</v>
      </c>
      <c r="D18" s="9">
        <v>133</v>
      </c>
      <c r="E18" s="2">
        <v>0</v>
      </c>
      <c r="F18" s="2">
        <f>IFERROR(SUMIFS(MOUVEMENTS_STOCK!$E:$E,MOUVEMENTS_STOCK!$C:$C,A18,MOUVEMENTS_STOCK!$D:$D,"ENTREE"),0)</f>
        <v>0</v>
      </c>
      <c r="G18" s="2">
        <f>IFERROR(SUMIFS(MOUVEMENTS_STOCK!$E:$E,MOUVEMENTS_STOCK!$C:$C,A18,MOUVEMENTS_STOCK!$D:$D,"SORTIE"),0)</f>
        <v>0</v>
      </c>
      <c r="H18" s="2">
        <f t="shared" si="0"/>
        <v>0</v>
      </c>
      <c r="I18" s="2">
        <v>1</v>
      </c>
      <c r="J18" s="2" t="str">
        <f t="shared" si="1"/>
        <v>CRITIQUE</v>
      </c>
      <c r="K18" s="2" t="str">
        <f t="shared" si="2"/>
        <v>A_REAPPROVISIONNER</v>
      </c>
      <c r="L18" s="2"/>
      <c r="M18" s="2"/>
    </row>
    <row r="19" spans="1:13" x14ac:dyDescent="0.25">
      <c r="A19" s="2" t="s">
        <v>61</v>
      </c>
      <c r="B19" s="2"/>
      <c r="C19" s="2" t="s">
        <v>62</v>
      </c>
      <c r="D19" s="9">
        <v>133</v>
      </c>
      <c r="E19" s="2">
        <v>2</v>
      </c>
      <c r="F19" s="2">
        <f>IFERROR(SUMIFS(MOUVEMENTS_STOCK!$E:$E,MOUVEMENTS_STOCK!$C:$C,A19,MOUVEMENTS_STOCK!$D:$D,"ENTREE"),0)</f>
        <v>0</v>
      </c>
      <c r="G19" s="2">
        <f>IFERROR(SUMIFS(MOUVEMENTS_STOCK!$E:$E,MOUVEMENTS_STOCK!$C:$C,A19,MOUVEMENTS_STOCK!$D:$D,"SORTIE"),0)</f>
        <v>0</v>
      </c>
      <c r="H19" s="2">
        <f t="shared" si="0"/>
        <v>2</v>
      </c>
      <c r="I19" s="2">
        <v>2</v>
      </c>
      <c r="J19" s="2" t="str">
        <f t="shared" si="1"/>
        <v>CRITIQUE</v>
      </c>
      <c r="K19" s="2" t="str">
        <f t="shared" si="2"/>
        <v>A_REAPPROVISIONNER</v>
      </c>
      <c r="L19" s="2"/>
      <c r="M19" s="2"/>
    </row>
    <row r="20" spans="1:13" x14ac:dyDescent="0.25">
      <c r="A20" s="2" t="s">
        <v>63</v>
      </c>
      <c r="B20" s="2"/>
      <c r="C20" s="2" t="s">
        <v>64</v>
      </c>
      <c r="D20" s="9">
        <v>133</v>
      </c>
      <c r="E20" s="2">
        <v>0</v>
      </c>
      <c r="F20" s="2">
        <f>IFERROR(SUMIFS(MOUVEMENTS_STOCK!$E:$E,MOUVEMENTS_STOCK!$C:$C,A20,MOUVEMENTS_STOCK!$D:$D,"ENTREE"),0)</f>
        <v>0</v>
      </c>
      <c r="G20" s="2">
        <f>IFERROR(SUMIFS(MOUVEMENTS_STOCK!$E:$E,MOUVEMENTS_STOCK!$C:$C,A20,MOUVEMENTS_STOCK!$D:$D,"SORTIE"),0)</f>
        <v>0</v>
      </c>
      <c r="H20" s="2">
        <f t="shared" si="0"/>
        <v>0</v>
      </c>
      <c r="I20" s="2">
        <v>1</v>
      </c>
      <c r="J20" s="2" t="str">
        <f t="shared" si="1"/>
        <v>CRITIQUE</v>
      </c>
      <c r="K20" s="2" t="str">
        <f t="shared" si="2"/>
        <v>A_REAPPROVISIONNER</v>
      </c>
      <c r="L20" s="2" t="s">
        <v>29</v>
      </c>
      <c r="M20" s="2" t="s">
        <v>65</v>
      </c>
    </row>
    <row r="21" spans="1:13" x14ac:dyDescent="0.25">
      <c r="A21" s="2" t="s">
        <v>66</v>
      </c>
      <c r="B21" s="2"/>
      <c r="C21" s="2" t="s">
        <v>67</v>
      </c>
      <c r="D21" s="9">
        <v>133</v>
      </c>
      <c r="E21" s="2">
        <v>4</v>
      </c>
      <c r="F21" s="2">
        <f>IFERROR(SUMIFS(MOUVEMENTS_STOCK!$E:$E,MOUVEMENTS_STOCK!$C:$C,A21,MOUVEMENTS_STOCK!$D:$D,"ENTREE"),0)</f>
        <v>0</v>
      </c>
      <c r="G21" s="2">
        <f>IFERROR(SUMIFS(MOUVEMENTS_STOCK!$E:$E,MOUVEMENTS_STOCK!$C:$C,A21,MOUVEMENTS_STOCK!$D:$D,"SORTIE"),0)</f>
        <v>0</v>
      </c>
      <c r="H21" s="2">
        <f t="shared" si="0"/>
        <v>4</v>
      </c>
      <c r="I21" s="2">
        <v>2</v>
      </c>
      <c r="J21" s="2" t="str">
        <f t="shared" si="1"/>
        <v>OK</v>
      </c>
      <c r="K21" s="2" t="str">
        <f t="shared" si="2"/>
        <v>OK</v>
      </c>
      <c r="L21" s="2"/>
      <c r="M21" s="2"/>
    </row>
    <row r="22" spans="1:13" x14ac:dyDescent="0.25">
      <c r="A22" s="2" t="s">
        <v>68</v>
      </c>
      <c r="B22" s="2"/>
      <c r="C22" s="2" t="s">
        <v>69</v>
      </c>
      <c r="D22" s="9">
        <v>133</v>
      </c>
      <c r="E22" s="2">
        <v>33</v>
      </c>
      <c r="F22" s="2">
        <f>IFERROR(SUMIFS(MOUVEMENTS_STOCK!$E:$E,MOUVEMENTS_STOCK!$C:$C,A22,MOUVEMENTS_STOCK!$D:$D,"ENTREE"),0)</f>
        <v>0</v>
      </c>
      <c r="G22" s="2">
        <f>IFERROR(SUMIFS(MOUVEMENTS_STOCK!$E:$E,MOUVEMENTS_STOCK!$C:$C,A22,MOUVEMENTS_STOCK!$D:$D,"SORTIE"),0)</f>
        <v>0</v>
      </c>
      <c r="H22" s="2">
        <f t="shared" si="0"/>
        <v>33</v>
      </c>
      <c r="I22" s="2">
        <v>2</v>
      </c>
      <c r="J22" s="2" t="str">
        <f t="shared" si="1"/>
        <v>OK</v>
      </c>
      <c r="K22" s="2" t="str">
        <f t="shared" si="2"/>
        <v>OK</v>
      </c>
      <c r="L22" s="2"/>
      <c r="M22" s="2"/>
    </row>
    <row r="23" spans="1:13" x14ac:dyDescent="0.25">
      <c r="A23" s="2" t="s">
        <v>70</v>
      </c>
      <c r="B23" s="2"/>
      <c r="C23" s="2" t="s">
        <v>71</v>
      </c>
      <c r="D23" s="9">
        <v>133</v>
      </c>
      <c r="E23" s="2">
        <v>1</v>
      </c>
      <c r="F23" s="2">
        <f>IFERROR(SUMIFS(MOUVEMENTS_STOCK!$E:$E,MOUVEMENTS_STOCK!$C:$C,A23,MOUVEMENTS_STOCK!$D:$D,"ENTREE"),0)</f>
        <v>0</v>
      </c>
      <c r="G23" s="2">
        <f>IFERROR(SUMIFS(MOUVEMENTS_STOCK!$E:$E,MOUVEMENTS_STOCK!$C:$C,A23,MOUVEMENTS_STOCK!$D:$D,"SORTIE"),0)</f>
        <v>0</v>
      </c>
      <c r="H23" s="2">
        <f t="shared" si="0"/>
        <v>1</v>
      </c>
      <c r="I23" s="2">
        <v>1</v>
      </c>
      <c r="J23" s="2" t="str">
        <f t="shared" si="1"/>
        <v>CRITIQUE</v>
      </c>
      <c r="K23" s="2" t="str">
        <f t="shared" si="2"/>
        <v>A_REAPPROVISIONNER</v>
      </c>
      <c r="L23" s="2"/>
      <c r="M23" s="2"/>
    </row>
    <row r="24" spans="1:13" x14ac:dyDescent="0.25">
      <c r="A24" s="2" t="s">
        <v>72</v>
      </c>
      <c r="B24" s="2"/>
      <c r="C24" s="2" t="s">
        <v>73</v>
      </c>
      <c r="D24" s="9">
        <v>133</v>
      </c>
      <c r="E24" s="2">
        <v>5</v>
      </c>
      <c r="F24" s="2">
        <f>IFERROR(SUMIFS(MOUVEMENTS_STOCK!$E:$E,MOUVEMENTS_STOCK!$C:$C,A24,MOUVEMENTS_STOCK!$D:$D,"ENTREE"),0)</f>
        <v>0</v>
      </c>
      <c r="G24" s="2">
        <f>IFERROR(SUMIFS(MOUVEMENTS_STOCK!$E:$E,MOUVEMENTS_STOCK!$C:$C,A24,MOUVEMENTS_STOCK!$D:$D,"SORTIE"),0)</f>
        <v>0</v>
      </c>
      <c r="H24" s="2">
        <f t="shared" si="0"/>
        <v>5</v>
      </c>
      <c r="I24" s="2">
        <v>2</v>
      </c>
      <c r="J24" s="2" t="str">
        <f t="shared" si="1"/>
        <v>OK</v>
      </c>
      <c r="K24" s="2" t="str">
        <f t="shared" si="2"/>
        <v>OK</v>
      </c>
      <c r="L24" s="2"/>
      <c r="M24" s="2"/>
    </row>
    <row r="25" spans="1:13" x14ac:dyDescent="0.25">
      <c r="A25" s="2" t="s">
        <v>74</v>
      </c>
      <c r="B25" s="2"/>
      <c r="C25" s="2" t="s">
        <v>75</v>
      </c>
      <c r="D25" s="9">
        <v>133</v>
      </c>
      <c r="E25" s="2">
        <v>1</v>
      </c>
      <c r="F25" s="2">
        <f>IFERROR(SUMIFS(MOUVEMENTS_STOCK!$E:$E,MOUVEMENTS_STOCK!$C:$C,A25,MOUVEMENTS_STOCK!$D:$D,"ENTREE"),0)</f>
        <v>0</v>
      </c>
      <c r="G25" s="2">
        <f>IFERROR(SUMIFS(MOUVEMENTS_STOCK!$E:$E,MOUVEMENTS_STOCK!$C:$C,A25,MOUVEMENTS_STOCK!$D:$D,"SORTIE"),0)</f>
        <v>0</v>
      </c>
      <c r="H25" s="2">
        <f t="shared" si="0"/>
        <v>1</v>
      </c>
      <c r="I25" s="2">
        <v>1</v>
      </c>
      <c r="J25" s="2" t="str">
        <f t="shared" si="1"/>
        <v>CRITIQUE</v>
      </c>
      <c r="K25" s="2" t="str">
        <f t="shared" si="2"/>
        <v>A_REAPPROVISIONNER</v>
      </c>
      <c r="L25" s="2"/>
      <c r="M25" s="2"/>
    </row>
    <row r="26" spans="1:13" ht="30" x14ac:dyDescent="0.25">
      <c r="A26" s="2" t="s">
        <v>76</v>
      </c>
      <c r="B26" s="2"/>
      <c r="C26" s="2" t="s">
        <v>77</v>
      </c>
      <c r="D26" s="9">
        <v>133</v>
      </c>
      <c r="E26" s="2">
        <v>3</v>
      </c>
      <c r="F26" s="2">
        <f>IFERROR(SUMIFS(MOUVEMENTS_STOCK!$E:$E,MOUVEMENTS_STOCK!$C:$C,A26,MOUVEMENTS_STOCK!$D:$D,"ENTREE"),0)</f>
        <v>0</v>
      </c>
      <c r="G26" s="2">
        <f>IFERROR(SUMIFS(MOUVEMENTS_STOCK!$E:$E,MOUVEMENTS_STOCK!$C:$C,A26,MOUVEMENTS_STOCK!$D:$D,"SORTIE"),0)</f>
        <v>0</v>
      </c>
      <c r="H26" s="2">
        <f t="shared" si="0"/>
        <v>3</v>
      </c>
      <c r="I26" s="2">
        <v>2</v>
      </c>
      <c r="J26" s="2" t="str">
        <f t="shared" si="1"/>
        <v>BAS</v>
      </c>
      <c r="K26" s="2" t="str">
        <f t="shared" si="2"/>
        <v>SURVEILLER</v>
      </c>
      <c r="L26" s="2"/>
      <c r="M26" s="2" t="s">
        <v>78</v>
      </c>
    </row>
    <row r="27" spans="1:13" x14ac:dyDescent="0.25">
      <c r="A27" s="2" t="s">
        <v>79</v>
      </c>
      <c r="B27" s="2"/>
      <c r="C27" s="2" t="s">
        <v>80</v>
      </c>
      <c r="D27" s="9">
        <v>133</v>
      </c>
      <c r="E27" s="2">
        <v>0</v>
      </c>
      <c r="F27" s="2">
        <f>IFERROR(SUMIFS(MOUVEMENTS_STOCK!$E:$E,MOUVEMENTS_STOCK!$C:$C,A27,MOUVEMENTS_STOCK!$D:$D,"ENTREE"),0)</f>
        <v>0</v>
      </c>
      <c r="G27" s="2">
        <f>IFERROR(SUMIFS(MOUVEMENTS_STOCK!$E:$E,MOUVEMENTS_STOCK!$C:$C,A27,MOUVEMENTS_STOCK!$D:$D,"SORTIE"),0)</f>
        <v>0</v>
      </c>
      <c r="H27" s="2">
        <f t="shared" si="0"/>
        <v>0</v>
      </c>
      <c r="I27" s="2">
        <v>1</v>
      </c>
      <c r="J27" s="2" t="str">
        <f t="shared" si="1"/>
        <v>CRITIQUE</v>
      </c>
      <c r="K27" s="2" t="str">
        <f t="shared" si="2"/>
        <v>A_REAPPROVISIONNER</v>
      </c>
      <c r="L27" s="2"/>
      <c r="M27" s="2"/>
    </row>
    <row r="28" spans="1:13" ht="30" x14ac:dyDescent="0.25">
      <c r="A28" s="2" t="s">
        <v>81</v>
      </c>
      <c r="B28" s="2"/>
      <c r="C28" s="2" t="s">
        <v>82</v>
      </c>
      <c r="D28" s="9">
        <v>133</v>
      </c>
      <c r="E28" s="2">
        <v>21</v>
      </c>
      <c r="F28" s="2">
        <f>IFERROR(SUMIFS(MOUVEMENTS_STOCK!$E:$E,MOUVEMENTS_STOCK!$C:$C,A28,MOUVEMENTS_STOCK!$D:$D,"ENTREE"),0)</f>
        <v>0</v>
      </c>
      <c r="G28" s="2">
        <f>IFERROR(SUMIFS(MOUVEMENTS_STOCK!$E:$E,MOUVEMENTS_STOCK!$C:$C,A28,MOUVEMENTS_STOCK!$D:$D,"SORTIE"),0)</f>
        <v>0</v>
      </c>
      <c r="H28" s="2">
        <f t="shared" si="0"/>
        <v>21</v>
      </c>
      <c r="I28" s="2">
        <v>2</v>
      </c>
      <c r="J28" s="2" t="str">
        <f t="shared" si="1"/>
        <v>OK</v>
      </c>
      <c r="K28" s="2" t="str">
        <f t="shared" si="2"/>
        <v>OK</v>
      </c>
      <c r="L28" s="2"/>
      <c r="M28" s="2" t="s">
        <v>83</v>
      </c>
    </row>
    <row r="29" spans="1:13" x14ac:dyDescent="0.25">
      <c r="A29" s="2" t="s">
        <v>84</v>
      </c>
      <c r="B29" s="2"/>
      <c r="C29" s="2" t="s">
        <v>85</v>
      </c>
      <c r="D29" s="9">
        <v>133</v>
      </c>
      <c r="E29" s="2">
        <v>0</v>
      </c>
      <c r="F29" s="2">
        <f>IFERROR(SUMIFS(MOUVEMENTS_STOCK!$E:$E,MOUVEMENTS_STOCK!$C:$C,A29,MOUVEMENTS_STOCK!$D:$D,"ENTREE"),0)</f>
        <v>0</v>
      </c>
      <c r="G29" s="2">
        <f>IFERROR(SUMIFS(MOUVEMENTS_STOCK!$E:$E,MOUVEMENTS_STOCK!$C:$C,A29,MOUVEMENTS_STOCK!$D:$D,"SORTIE"),0)</f>
        <v>0</v>
      </c>
      <c r="H29" s="2">
        <f t="shared" si="0"/>
        <v>0</v>
      </c>
      <c r="I29" s="2">
        <v>1</v>
      </c>
      <c r="J29" s="2" t="str">
        <f t="shared" si="1"/>
        <v>CRITIQUE</v>
      </c>
      <c r="K29" s="2" t="str">
        <f t="shared" si="2"/>
        <v>A_REAPPROVISIONNER</v>
      </c>
      <c r="L29" s="2" t="s">
        <v>29</v>
      </c>
      <c r="M29" s="2" t="s">
        <v>86</v>
      </c>
    </row>
    <row r="30" spans="1:13" x14ac:dyDescent="0.25">
      <c r="A30" s="2" t="s">
        <v>87</v>
      </c>
      <c r="B30" s="2"/>
      <c r="C30" s="2" t="s">
        <v>88</v>
      </c>
      <c r="D30" s="9">
        <v>133</v>
      </c>
      <c r="E30" s="2">
        <v>4</v>
      </c>
      <c r="F30" s="2">
        <f>IFERROR(SUMIFS(MOUVEMENTS_STOCK!$E:$E,MOUVEMENTS_STOCK!$C:$C,A30,MOUVEMENTS_STOCK!$D:$D,"ENTREE"),0)</f>
        <v>0</v>
      </c>
      <c r="G30" s="2">
        <f>IFERROR(SUMIFS(MOUVEMENTS_STOCK!$E:$E,MOUVEMENTS_STOCK!$C:$C,A30,MOUVEMENTS_STOCK!$D:$D,"SORTIE"),0)</f>
        <v>0</v>
      </c>
      <c r="H30" s="2">
        <f t="shared" si="0"/>
        <v>4</v>
      </c>
      <c r="I30" s="2">
        <v>2</v>
      </c>
      <c r="J30" s="2" t="str">
        <f t="shared" si="1"/>
        <v>OK</v>
      </c>
      <c r="K30" s="2" t="str">
        <f t="shared" si="2"/>
        <v>OK</v>
      </c>
      <c r="L30" s="2" t="s">
        <v>29</v>
      </c>
      <c r="M30" s="2" t="s">
        <v>89</v>
      </c>
    </row>
    <row r="31" spans="1:13" x14ac:dyDescent="0.25">
      <c r="A31" s="2" t="s">
        <v>90</v>
      </c>
      <c r="B31" s="2"/>
      <c r="C31" s="2" t="s">
        <v>91</v>
      </c>
      <c r="D31" s="9">
        <v>133</v>
      </c>
      <c r="E31" s="2">
        <v>5</v>
      </c>
      <c r="F31" s="2">
        <f>IFERROR(SUMIFS(MOUVEMENTS_STOCK!$E:$E,MOUVEMENTS_STOCK!$C:$C,A31,MOUVEMENTS_STOCK!$D:$D,"ENTREE"),0)</f>
        <v>0</v>
      </c>
      <c r="G31" s="2">
        <f>IFERROR(SUMIFS(MOUVEMENTS_STOCK!$E:$E,MOUVEMENTS_STOCK!$C:$C,A31,MOUVEMENTS_STOCK!$D:$D,"SORTIE"),0)</f>
        <v>0</v>
      </c>
      <c r="H31" s="2">
        <f t="shared" si="0"/>
        <v>5</v>
      </c>
      <c r="I31" s="2">
        <v>2</v>
      </c>
      <c r="J31" s="2" t="str">
        <f t="shared" si="1"/>
        <v>OK</v>
      </c>
      <c r="K31" s="2" t="str">
        <f t="shared" si="2"/>
        <v>OK</v>
      </c>
      <c r="L31" s="2" t="s">
        <v>29</v>
      </c>
      <c r="M31" s="2"/>
    </row>
    <row r="32" spans="1:13" x14ac:dyDescent="0.25">
      <c r="A32" s="2" t="s">
        <v>92</v>
      </c>
      <c r="B32" s="2"/>
      <c r="C32" s="2" t="s">
        <v>93</v>
      </c>
      <c r="D32" s="9">
        <v>133</v>
      </c>
      <c r="E32" s="2">
        <v>12</v>
      </c>
      <c r="F32" s="2">
        <f>IFERROR(SUMIFS(MOUVEMENTS_STOCK!$E:$E,MOUVEMENTS_STOCK!$C:$C,A32,MOUVEMENTS_STOCK!$D:$D,"ENTREE"),0)</f>
        <v>0</v>
      </c>
      <c r="G32" s="2">
        <f>IFERROR(SUMIFS(MOUVEMENTS_STOCK!$E:$E,MOUVEMENTS_STOCK!$C:$C,A32,MOUVEMENTS_STOCK!$D:$D,"SORTIE"),0)</f>
        <v>0</v>
      </c>
      <c r="H32" s="2">
        <f t="shared" si="0"/>
        <v>12</v>
      </c>
      <c r="I32" s="2">
        <v>2</v>
      </c>
      <c r="J32" s="2" t="str">
        <f t="shared" si="1"/>
        <v>OK</v>
      </c>
      <c r="K32" s="2" t="str">
        <f t="shared" si="2"/>
        <v>OK</v>
      </c>
      <c r="L32" s="2" t="s">
        <v>29</v>
      </c>
      <c r="M32" s="2"/>
    </row>
    <row r="33" spans="1:13" x14ac:dyDescent="0.25">
      <c r="A33" s="2" t="s">
        <v>94</v>
      </c>
      <c r="B33" s="2"/>
      <c r="C33" s="2" t="s">
        <v>95</v>
      </c>
      <c r="D33" s="9">
        <v>133</v>
      </c>
      <c r="E33" s="2">
        <v>0</v>
      </c>
      <c r="F33" s="2">
        <f>IFERROR(SUMIFS(MOUVEMENTS_STOCK!$E:$E,MOUVEMENTS_STOCK!$C:$C,A33,MOUVEMENTS_STOCK!$D:$D,"ENTREE"),0)</f>
        <v>0</v>
      </c>
      <c r="G33" s="2">
        <f>IFERROR(SUMIFS(MOUVEMENTS_STOCK!$E:$E,MOUVEMENTS_STOCK!$C:$C,A33,MOUVEMENTS_STOCK!$D:$D,"SORTIE"),0)</f>
        <v>0</v>
      </c>
      <c r="H33" s="2">
        <f t="shared" si="0"/>
        <v>0</v>
      </c>
      <c r="I33" s="2">
        <v>1</v>
      </c>
      <c r="J33" s="2" t="str">
        <f t="shared" si="1"/>
        <v>CRITIQUE</v>
      </c>
      <c r="K33" s="2" t="str">
        <f t="shared" si="2"/>
        <v>A_REAPPROVISIONNER</v>
      </c>
      <c r="L33" s="2" t="s">
        <v>29</v>
      </c>
      <c r="M33" s="2" t="s">
        <v>96</v>
      </c>
    </row>
    <row r="34" spans="1:13" x14ac:dyDescent="0.25">
      <c r="A34" s="2" t="s">
        <v>97</v>
      </c>
      <c r="B34" s="2"/>
      <c r="C34" s="2" t="s">
        <v>98</v>
      </c>
      <c r="D34" s="9">
        <v>133</v>
      </c>
      <c r="E34" s="2">
        <v>5</v>
      </c>
      <c r="F34" s="2">
        <f>IFERROR(SUMIFS(MOUVEMENTS_STOCK!$E:$E,MOUVEMENTS_STOCK!$C:$C,A34,MOUVEMENTS_STOCK!$D:$D,"ENTREE"),0)</f>
        <v>0</v>
      </c>
      <c r="G34" s="2">
        <f>IFERROR(SUMIFS(MOUVEMENTS_STOCK!$E:$E,MOUVEMENTS_STOCK!$C:$C,A34,MOUVEMENTS_STOCK!$D:$D,"SORTIE"),0)</f>
        <v>0</v>
      </c>
      <c r="H34" s="2">
        <f t="shared" ref="H34:H65" si="3">E34+F34-G34</f>
        <v>5</v>
      </c>
      <c r="I34" s="2">
        <v>2</v>
      </c>
      <c r="J34" s="2" t="str">
        <f t="shared" ref="J34:J65" si="4">IF(H34&lt;=I34,"CRITIQUE",IF(H34&lt;=I34+1,"BAS","OK"))</f>
        <v>OK</v>
      </c>
      <c r="K34" s="2" t="str">
        <f t="shared" ref="K34:K65" si="5">IF(J34="CRITIQUE","A_REAPPROVISIONNER",IF(J34="BAS","SURVEILLER","OK"))</f>
        <v>OK</v>
      </c>
      <c r="L34" s="2" t="s">
        <v>29</v>
      </c>
      <c r="M34" s="2" t="s">
        <v>58</v>
      </c>
    </row>
    <row r="35" spans="1:13" x14ac:dyDescent="0.25">
      <c r="A35" s="2" t="s">
        <v>99</v>
      </c>
      <c r="B35" s="2"/>
      <c r="C35" s="2" t="s">
        <v>100</v>
      </c>
      <c r="D35" s="9">
        <v>133</v>
      </c>
      <c r="E35" s="2">
        <v>10</v>
      </c>
      <c r="F35" s="2">
        <f>IFERROR(SUMIFS(MOUVEMENTS_STOCK!$E:$E,MOUVEMENTS_STOCK!$C:$C,A35,MOUVEMENTS_STOCK!$D:$D,"ENTREE"),0)</f>
        <v>0</v>
      </c>
      <c r="G35" s="2">
        <f>IFERROR(SUMIFS(MOUVEMENTS_STOCK!$E:$E,MOUVEMENTS_STOCK!$C:$C,A35,MOUVEMENTS_STOCK!$D:$D,"SORTIE"),0)</f>
        <v>0</v>
      </c>
      <c r="H35" s="2">
        <f t="shared" si="3"/>
        <v>10</v>
      </c>
      <c r="I35" s="2">
        <v>2</v>
      </c>
      <c r="J35" s="2" t="str">
        <f t="shared" si="4"/>
        <v>OK</v>
      </c>
      <c r="K35" s="2" t="str">
        <f t="shared" si="5"/>
        <v>OK</v>
      </c>
      <c r="L35" s="2" t="s">
        <v>101</v>
      </c>
      <c r="M35" s="2" t="s">
        <v>102</v>
      </c>
    </row>
    <row r="36" spans="1:13" x14ac:dyDescent="0.25">
      <c r="A36" s="2" t="s">
        <v>103</v>
      </c>
      <c r="B36" s="2"/>
      <c r="C36" s="2" t="s">
        <v>104</v>
      </c>
      <c r="D36" s="9">
        <v>133</v>
      </c>
      <c r="E36" s="2">
        <v>10</v>
      </c>
      <c r="F36" s="2">
        <f>IFERROR(SUMIFS(MOUVEMENTS_STOCK!$E:$E,MOUVEMENTS_STOCK!$C:$C,A36,MOUVEMENTS_STOCK!$D:$D,"ENTREE"),0)</f>
        <v>0</v>
      </c>
      <c r="G36" s="2">
        <f>IFERROR(SUMIFS(MOUVEMENTS_STOCK!$E:$E,MOUVEMENTS_STOCK!$C:$C,A36,MOUVEMENTS_STOCK!$D:$D,"SORTIE"),0)</f>
        <v>0</v>
      </c>
      <c r="H36" s="2">
        <f t="shared" si="3"/>
        <v>10</v>
      </c>
      <c r="I36" s="2">
        <v>2</v>
      </c>
      <c r="J36" s="2" t="str">
        <f t="shared" si="4"/>
        <v>OK</v>
      </c>
      <c r="K36" s="2" t="str">
        <f t="shared" si="5"/>
        <v>OK</v>
      </c>
      <c r="L36" s="2"/>
      <c r="M36" s="2" t="s">
        <v>105</v>
      </c>
    </row>
    <row r="37" spans="1:13" x14ac:dyDescent="0.25">
      <c r="A37" s="2" t="s">
        <v>106</v>
      </c>
      <c r="B37" s="2"/>
      <c r="C37" s="2" t="s">
        <v>107</v>
      </c>
      <c r="D37" s="9">
        <v>133</v>
      </c>
      <c r="E37" s="2">
        <v>13</v>
      </c>
      <c r="F37" s="2">
        <f>IFERROR(SUMIFS(MOUVEMENTS_STOCK!$E:$E,MOUVEMENTS_STOCK!$C:$C,A37,MOUVEMENTS_STOCK!$D:$D,"ENTREE"),0)</f>
        <v>0</v>
      </c>
      <c r="G37" s="2">
        <f>IFERROR(SUMIFS(MOUVEMENTS_STOCK!$E:$E,MOUVEMENTS_STOCK!$C:$C,A37,MOUVEMENTS_STOCK!$D:$D,"SORTIE"),0)</f>
        <v>0</v>
      </c>
      <c r="H37" s="2">
        <f t="shared" si="3"/>
        <v>13</v>
      </c>
      <c r="I37" s="2">
        <v>2</v>
      </c>
      <c r="J37" s="2" t="str">
        <f t="shared" si="4"/>
        <v>OK</v>
      </c>
      <c r="K37" s="2" t="str">
        <f t="shared" si="5"/>
        <v>OK</v>
      </c>
      <c r="L37" s="2"/>
      <c r="M37" s="2" t="s">
        <v>105</v>
      </c>
    </row>
    <row r="38" spans="1:13" x14ac:dyDescent="0.25">
      <c r="A38" s="2" t="s">
        <v>108</v>
      </c>
      <c r="B38" s="2"/>
      <c r="C38" s="2" t="s">
        <v>109</v>
      </c>
      <c r="D38" s="9">
        <v>133</v>
      </c>
      <c r="E38" s="2">
        <v>0</v>
      </c>
      <c r="F38" s="2">
        <f>IFERROR(SUMIFS(MOUVEMENTS_STOCK!$E:$E,MOUVEMENTS_STOCK!$C:$C,A38,MOUVEMENTS_STOCK!$D:$D,"ENTREE"),0)</f>
        <v>0</v>
      </c>
      <c r="G38" s="2">
        <f>IFERROR(SUMIFS(MOUVEMENTS_STOCK!$E:$E,MOUVEMENTS_STOCK!$C:$C,A38,MOUVEMENTS_STOCK!$D:$D,"SORTIE"),0)</f>
        <v>0</v>
      </c>
      <c r="H38" s="2">
        <f t="shared" si="3"/>
        <v>0</v>
      </c>
      <c r="I38" s="2">
        <v>1</v>
      </c>
      <c r="J38" s="2" t="str">
        <f t="shared" si="4"/>
        <v>CRITIQUE</v>
      </c>
      <c r="K38" s="2" t="str">
        <f t="shared" si="5"/>
        <v>A_REAPPROVISIONNER</v>
      </c>
      <c r="L38" s="2"/>
      <c r="M38" s="2"/>
    </row>
    <row r="39" spans="1:13" x14ac:dyDescent="0.25">
      <c r="A39" s="2" t="s">
        <v>110</v>
      </c>
      <c r="B39" s="2"/>
      <c r="C39" s="2" t="s">
        <v>111</v>
      </c>
      <c r="D39" s="9">
        <v>133</v>
      </c>
      <c r="E39" s="2">
        <v>6</v>
      </c>
      <c r="F39" s="2">
        <f>IFERROR(SUMIFS(MOUVEMENTS_STOCK!$E:$E,MOUVEMENTS_STOCK!$C:$C,A39,MOUVEMENTS_STOCK!$D:$D,"ENTREE"),0)</f>
        <v>0</v>
      </c>
      <c r="G39" s="2">
        <f>IFERROR(SUMIFS(MOUVEMENTS_STOCK!$E:$E,MOUVEMENTS_STOCK!$C:$C,A39,MOUVEMENTS_STOCK!$D:$D,"SORTIE"),0)</f>
        <v>0</v>
      </c>
      <c r="H39" s="2">
        <f t="shared" si="3"/>
        <v>6</v>
      </c>
      <c r="I39" s="2">
        <v>2</v>
      </c>
      <c r="J39" s="2" t="str">
        <f t="shared" si="4"/>
        <v>OK</v>
      </c>
      <c r="K39" s="2" t="str">
        <f t="shared" si="5"/>
        <v>OK</v>
      </c>
      <c r="L39" s="2"/>
      <c r="M39" s="2" t="s">
        <v>112</v>
      </c>
    </row>
    <row r="40" spans="1:13" x14ac:dyDescent="0.25">
      <c r="A40" s="2" t="s">
        <v>113</v>
      </c>
      <c r="B40" s="2"/>
      <c r="C40" s="2" t="s">
        <v>114</v>
      </c>
      <c r="D40" s="9">
        <v>133</v>
      </c>
      <c r="E40" s="2">
        <v>2</v>
      </c>
      <c r="F40" s="2">
        <f>IFERROR(SUMIFS(MOUVEMENTS_STOCK!$E:$E,MOUVEMENTS_STOCK!$C:$C,A40,MOUVEMENTS_STOCK!$D:$D,"ENTREE"),0)</f>
        <v>0</v>
      </c>
      <c r="G40" s="2">
        <f>IFERROR(SUMIFS(MOUVEMENTS_STOCK!$E:$E,MOUVEMENTS_STOCK!$C:$C,A40,MOUVEMENTS_STOCK!$D:$D,"SORTIE"),0)</f>
        <v>0</v>
      </c>
      <c r="H40" s="2">
        <f t="shared" si="3"/>
        <v>2</v>
      </c>
      <c r="I40" s="2">
        <v>2</v>
      </c>
      <c r="J40" s="2" t="str">
        <f t="shared" si="4"/>
        <v>CRITIQUE</v>
      </c>
      <c r="K40" s="2" t="str">
        <f t="shared" si="5"/>
        <v>A_REAPPROVISIONNER</v>
      </c>
      <c r="L40" s="2"/>
      <c r="M40" s="2" t="s">
        <v>115</v>
      </c>
    </row>
    <row r="41" spans="1:13" x14ac:dyDescent="0.25">
      <c r="A41" s="2" t="s">
        <v>116</v>
      </c>
      <c r="B41" s="2"/>
      <c r="C41" s="2" t="s">
        <v>44</v>
      </c>
      <c r="D41" s="9">
        <v>133</v>
      </c>
      <c r="E41" s="2">
        <v>0</v>
      </c>
      <c r="F41" s="2">
        <f>IFERROR(SUMIFS(MOUVEMENTS_STOCK!$E:$E,MOUVEMENTS_STOCK!$C:$C,A41,MOUVEMENTS_STOCK!$D:$D,"ENTREE"),0)</f>
        <v>0</v>
      </c>
      <c r="G41" s="2">
        <f>IFERROR(SUMIFS(MOUVEMENTS_STOCK!$E:$E,MOUVEMENTS_STOCK!$C:$C,A41,MOUVEMENTS_STOCK!$D:$D,"SORTIE"),0)</f>
        <v>0</v>
      </c>
      <c r="H41" s="2">
        <f t="shared" si="3"/>
        <v>0</v>
      </c>
      <c r="I41" s="2">
        <v>1</v>
      </c>
      <c r="J41" s="2" t="str">
        <f t="shared" si="4"/>
        <v>CRITIQUE</v>
      </c>
      <c r="K41" s="2" t="str">
        <f t="shared" si="5"/>
        <v>A_REAPPROVISIONNER</v>
      </c>
      <c r="L41" s="2"/>
      <c r="M41" s="2"/>
    </row>
    <row r="42" spans="1:13" x14ac:dyDescent="0.25">
      <c r="A42" s="2" t="s">
        <v>117</v>
      </c>
      <c r="B42" s="2"/>
      <c r="C42" s="2" t="s">
        <v>118</v>
      </c>
      <c r="D42" s="9">
        <v>133</v>
      </c>
      <c r="E42" s="2">
        <v>1</v>
      </c>
      <c r="F42" s="2">
        <f>IFERROR(SUMIFS(MOUVEMENTS_STOCK!$E:$E,MOUVEMENTS_STOCK!$C:$C,A42,MOUVEMENTS_STOCK!$D:$D,"ENTREE"),0)</f>
        <v>0</v>
      </c>
      <c r="G42" s="2">
        <f>IFERROR(SUMIFS(MOUVEMENTS_STOCK!$E:$E,MOUVEMENTS_STOCK!$C:$C,A42,MOUVEMENTS_STOCK!$D:$D,"SORTIE"),0)</f>
        <v>0</v>
      </c>
      <c r="H42" s="2">
        <f t="shared" si="3"/>
        <v>1</v>
      </c>
      <c r="I42" s="2">
        <v>1</v>
      </c>
      <c r="J42" s="2" t="str">
        <f t="shared" si="4"/>
        <v>CRITIQUE</v>
      </c>
      <c r="K42" s="2" t="str">
        <f t="shared" si="5"/>
        <v>A_REAPPROVISIONNER</v>
      </c>
      <c r="L42" s="2"/>
      <c r="M42" s="2"/>
    </row>
    <row r="43" spans="1:13" x14ac:dyDescent="0.25">
      <c r="A43" s="2" t="s">
        <v>119</v>
      </c>
      <c r="B43" s="2"/>
      <c r="C43" s="2" t="s">
        <v>120</v>
      </c>
      <c r="D43" s="9">
        <v>133</v>
      </c>
      <c r="E43" s="2">
        <v>33</v>
      </c>
      <c r="F43" s="2">
        <f>IFERROR(SUMIFS(MOUVEMENTS_STOCK!$E:$E,MOUVEMENTS_STOCK!$C:$C,A43,MOUVEMENTS_STOCK!$D:$D,"ENTREE"),0)</f>
        <v>0</v>
      </c>
      <c r="G43" s="2">
        <f>IFERROR(SUMIFS(MOUVEMENTS_STOCK!$E:$E,MOUVEMENTS_STOCK!$C:$C,A43,MOUVEMENTS_STOCK!$D:$D,"SORTIE"),0)</f>
        <v>0</v>
      </c>
      <c r="H43" s="2">
        <f t="shared" si="3"/>
        <v>33</v>
      </c>
      <c r="I43" s="2">
        <v>2</v>
      </c>
      <c r="J43" s="2" t="str">
        <f t="shared" si="4"/>
        <v>OK</v>
      </c>
      <c r="K43" s="2" t="str">
        <f t="shared" si="5"/>
        <v>OK</v>
      </c>
      <c r="L43" s="2"/>
      <c r="M43" s="2"/>
    </row>
    <row r="44" spans="1:13" x14ac:dyDescent="0.25">
      <c r="A44" s="2" t="s">
        <v>121</v>
      </c>
      <c r="B44" s="2"/>
      <c r="C44" s="2" t="s">
        <v>122</v>
      </c>
      <c r="D44" s="9">
        <v>133</v>
      </c>
      <c r="E44" s="2">
        <v>0</v>
      </c>
      <c r="F44" s="2">
        <f>IFERROR(SUMIFS(MOUVEMENTS_STOCK!$E:$E,MOUVEMENTS_STOCK!$C:$C,A44,MOUVEMENTS_STOCK!$D:$D,"ENTREE"),0)</f>
        <v>0</v>
      </c>
      <c r="G44" s="2">
        <f>IFERROR(SUMIFS(MOUVEMENTS_STOCK!$E:$E,MOUVEMENTS_STOCK!$C:$C,A44,MOUVEMENTS_STOCK!$D:$D,"SORTIE"),0)</f>
        <v>0</v>
      </c>
      <c r="H44" s="2">
        <f t="shared" si="3"/>
        <v>0</v>
      </c>
      <c r="I44" s="2">
        <v>1</v>
      </c>
      <c r="J44" s="2" t="str">
        <f t="shared" si="4"/>
        <v>CRITIQUE</v>
      </c>
      <c r="K44" s="2" t="str">
        <f t="shared" si="5"/>
        <v>A_REAPPROVISIONNER</v>
      </c>
      <c r="L44" s="2" t="s">
        <v>29</v>
      </c>
      <c r="M44" s="2" t="s">
        <v>65</v>
      </c>
    </row>
    <row r="45" spans="1:13" ht="30" x14ac:dyDescent="0.25">
      <c r="A45" s="2" t="s">
        <v>123</v>
      </c>
      <c r="B45" s="2"/>
      <c r="C45" s="2" t="s">
        <v>124</v>
      </c>
      <c r="D45" s="9">
        <v>133</v>
      </c>
      <c r="E45" s="2">
        <v>15</v>
      </c>
      <c r="F45" s="2">
        <f>IFERROR(SUMIFS(MOUVEMENTS_STOCK!$E:$E,MOUVEMENTS_STOCK!$C:$C,A45,MOUVEMENTS_STOCK!$D:$D,"ENTREE"),0)</f>
        <v>0</v>
      </c>
      <c r="G45" s="2">
        <f>IFERROR(SUMIFS(MOUVEMENTS_STOCK!$E:$E,MOUVEMENTS_STOCK!$C:$C,A45,MOUVEMENTS_STOCK!$D:$D,"SORTIE"),0)</f>
        <v>0</v>
      </c>
      <c r="H45" s="2">
        <f t="shared" si="3"/>
        <v>15</v>
      </c>
      <c r="I45" s="2">
        <v>2</v>
      </c>
      <c r="J45" s="2" t="str">
        <f t="shared" si="4"/>
        <v>OK</v>
      </c>
      <c r="K45" s="2" t="str">
        <f t="shared" si="5"/>
        <v>OK</v>
      </c>
      <c r="L45" s="2"/>
      <c r="M45" s="2" t="s">
        <v>125</v>
      </c>
    </row>
    <row r="46" spans="1:13" x14ac:dyDescent="0.25">
      <c r="A46" s="2" t="s">
        <v>126</v>
      </c>
      <c r="B46" s="2"/>
      <c r="C46" s="2" t="s">
        <v>127</v>
      </c>
      <c r="D46" s="2" t="s">
        <v>128</v>
      </c>
      <c r="E46" s="2">
        <v>4</v>
      </c>
      <c r="F46" s="2">
        <f>IFERROR(SUMIFS(MOUVEMENTS_STOCK!$E:$E,MOUVEMENTS_STOCK!$C:$C,A46,MOUVEMENTS_STOCK!$D:$D,"ENTREE"),0)</f>
        <v>0</v>
      </c>
      <c r="G46" s="2">
        <f>IFERROR(SUMIFS(MOUVEMENTS_STOCK!$E:$E,MOUVEMENTS_STOCK!$C:$C,A46,MOUVEMENTS_STOCK!$D:$D,"SORTIE"),0)</f>
        <v>0</v>
      </c>
      <c r="H46" s="2">
        <f t="shared" si="3"/>
        <v>4</v>
      </c>
      <c r="I46" s="2">
        <v>2</v>
      </c>
      <c r="J46" s="2" t="str">
        <f t="shared" si="4"/>
        <v>OK</v>
      </c>
      <c r="K46" s="2" t="str">
        <f t="shared" si="5"/>
        <v>OK</v>
      </c>
      <c r="L46" s="2"/>
      <c r="M46" s="2" t="s">
        <v>129</v>
      </c>
    </row>
    <row r="47" spans="1:13" x14ac:dyDescent="0.25">
      <c r="A47" s="2" t="s">
        <v>130</v>
      </c>
      <c r="B47" s="2"/>
      <c r="C47" s="2" t="s">
        <v>131</v>
      </c>
      <c r="D47" s="2" t="s">
        <v>128</v>
      </c>
      <c r="E47" s="2">
        <v>0</v>
      </c>
      <c r="F47" s="2">
        <f>IFERROR(SUMIFS(MOUVEMENTS_STOCK!$E:$E,MOUVEMENTS_STOCK!$C:$C,A47,MOUVEMENTS_STOCK!$D:$D,"ENTREE"),0)</f>
        <v>0</v>
      </c>
      <c r="G47" s="2">
        <f>IFERROR(SUMIFS(MOUVEMENTS_STOCK!$E:$E,MOUVEMENTS_STOCK!$C:$C,A47,MOUVEMENTS_STOCK!$D:$D,"SORTIE"),0)</f>
        <v>0</v>
      </c>
      <c r="H47" s="2">
        <f t="shared" si="3"/>
        <v>0</v>
      </c>
      <c r="I47" s="2">
        <v>1</v>
      </c>
      <c r="J47" s="2" t="str">
        <f t="shared" si="4"/>
        <v>CRITIQUE</v>
      </c>
      <c r="K47" s="2" t="str">
        <f t="shared" si="5"/>
        <v>A_REAPPROVISIONNER</v>
      </c>
      <c r="L47" s="2"/>
      <c r="M47" s="2"/>
    </row>
    <row r="48" spans="1:13" x14ac:dyDescent="0.25">
      <c r="A48" s="2" t="s">
        <v>132</v>
      </c>
      <c r="B48" s="2"/>
      <c r="C48" s="2" t="s">
        <v>133</v>
      </c>
      <c r="D48" s="2" t="s">
        <v>128</v>
      </c>
      <c r="E48" s="2">
        <v>3</v>
      </c>
      <c r="F48" s="2">
        <f>IFERROR(SUMIFS(MOUVEMENTS_STOCK!$E:$E,MOUVEMENTS_STOCK!$C:$C,A48,MOUVEMENTS_STOCK!$D:$D,"ENTREE"),0)</f>
        <v>0</v>
      </c>
      <c r="G48" s="2">
        <f>IFERROR(SUMIFS(MOUVEMENTS_STOCK!$E:$E,MOUVEMENTS_STOCK!$C:$C,A48,MOUVEMENTS_STOCK!$D:$D,"SORTIE"),0)</f>
        <v>0</v>
      </c>
      <c r="H48" s="2">
        <f t="shared" si="3"/>
        <v>3</v>
      </c>
      <c r="I48" s="2">
        <v>2</v>
      </c>
      <c r="J48" s="2" t="str">
        <f t="shared" si="4"/>
        <v>BAS</v>
      </c>
      <c r="K48" s="2" t="str">
        <f t="shared" si="5"/>
        <v>SURVEILLER</v>
      </c>
      <c r="L48" s="2" t="s">
        <v>134</v>
      </c>
      <c r="M48" s="2" t="s">
        <v>135</v>
      </c>
    </row>
    <row r="49" spans="1:13" x14ac:dyDescent="0.25">
      <c r="A49" s="2" t="s">
        <v>136</v>
      </c>
      <c r="B49" s="2"/>
      <c r="C49" s="2" t="s">
        <v>137</v>
      </c>
      <c r="D49" s="2" t="s">
        <v>128</v>
      </c>
      <c r="E49" s="2">
        <v>6</v>
      </c>
      <c r="F49" s="2">
        <f>IFERROR(SUMIFS(MOUVEMENTS_STOCK!$E:$E,MOUVEMENTS_STOCK!$C:$C,A49,MOUVEMENTS_STOCK!$D:$D,"ENTREE"),0)</f>
        <v>0</v>
      </c>
      <c r="G49" s="2">
        <f>IFERROR(SUMIFS(MOUVEMENTS_STOCK!$E:$E,MOUVEMENTS_STOCK!$C:$C,A49,MOUVEMENTS_STOCK!$D:$D,"SORTIE"),0)</f>
        <v>0</v>
      </c>
      <c r="H49" s="2">
        <f t="shared" si="3"/>
        <v>6</v>
      </c>
      <c r="I49" s="2">
        <v>2</v>
      </c>
      <c r="J49" s="2" t="str">
        <f t="shared" si="4"/>
        <v>OK</v>
      </c>
      <c r="K49" s="2" t="str">
        <f t="shared" si="5"/>
        <v>OK</v>
      </c>
      <c r="L49" s="2" t="s">
        <v>134</v>
      </c>
      <c r="M49" s="2" t="s">
        <v>138</v>
      </c>
    </row>
    <row r="50" spans="1:13" x14ac:dyDescent="0.25">
      <c r="A50" s="2" t="s">
        <v>139</v>
      </c>
      <c r="B50" s="2"/>
      <c r="C50" s="2" t="s">
        <v>140</v>
      </c>
      <c r="D50" s="2" t="s">
        <v>128</v>
      </c>
      <c r="E50" s="2">
        <v>3</v>
      </c>
      <c r="F50" s="2">
        <f>IFERROR(SUMIFS(MOUVEMENTS_STOCK!$E:$E,MOUVEMENTS_STOCK!$C:$C,A50,MOUVEMENTS_STOCK!$D:$D,"ENTREE"),0)</f>
        <v>0</v>
      </c>
      <c r="G50" s="2">
        <f>IFERROR(SUMIFS(MOUVEMENTS_STOCK!$E:$E,MOUVEMENTS_STOCK!$C:$C,A50,MOUVEMENTS_STOCK!$D:$D,"SORTIE"),0)</f>
        <v>0</v>
      </c>
      <c r="H50" s="2">
        <f t="shared" si="3"/>
        <v>3</v>
      </c>
      <c r="I50" s="2">
        <v>2</v>
      </c>
      <c r="J50" s="2" t="str">
        <f t="shared" si="4"/>
        <v>BAS</v>
      </c>
      <c r="K50" s="2" t="str">
        <f t="shared" si="5"/>
        <v>SURVEILLER</v>
      </c>
      <c r="L50" s="2"/>
      <c r="M50" s="2" t="s">
        <v>141</v>
      </c>
    </row>
    <row r="51" spans="1:13" x14ac:dyDescent="0.25">
      <c r="A51" s="2" t="s">
        <v>142</v>
      </c>
      <c r="B51" s="2"/>
      <c r="C51" s="2" t="s">
        <v>143</v>
      </c>
      <c r="D51" s="2" t="s">
        <v>128</v>
      </c>
      <c r="E51" s="2">
        <v>5</v>
      </c>
      <c r="F51" s="2">
        <f>IFERROR(SUMIFS(MOUVEMENTS_STOCK!$E:$E,MOUVEMENTS_STOCK!$C:$C,A51,MOUVEMENTS_STOCK!$D:$D,"ENTREE"),0)</f>
        <v>0</v>
      </c>
      <c r="G51" s="2">
        <f>IFERROR(SUMIFS(MOUVEMENTS_STOCK!$E:$E,MOUVEMENTS_STOCK!$C:$C,A51,MOUVEMENTS_STOCK!$D:$D,"SORTIE"),0)</f>
        <v>0</v>
      </c>
      <c r="H51" s="2">
        <f t="shared" si="3"/>
        <v>5</v>
      </c>
      <c r="I51" s="2">
        <v>2</v>
      </c>
      <c r="J51" s="2" t="str">
        <f t="shared" si="4"/>
        <v>OK</v>
      </c>
      <c r="K51" s="2" t="str">
        <f t="shared" si="5"/>
        <v>OK</v>
      </c>
      <c r="L51" s="2" t="s">
        <v>29</v>
      </c>
      <c r="M51" s="2" t="s">
        <v>144</v>
      </c>
    </row>
    <row r="52" spans="1:13" x14ac:dyDescent="0.25">
      <c r="A52" s="2" t="s">
        <v>145</v>
      </c>
      <c r="B52" s="2"/>
      <c r="C52" s="2" t="s">
        <v>146</v>
      </c>
      <c r="D52" s="2" t="s">
        <v>128</v>
      </c>
      <c r="E52" s="2">
        <v>3</v>
      </c>
      <c r="F52" s="2">
        <f>IFERROR(SUMIFS(MOUVEMENTS_STOCK!$E:$E,MOUVEMENTS_STOCK!$C:$C,A52,MOUVEMENTS_STOCK!$D:$D,"ENTREE"),0)</f>
        <v>0</v>
      </c>
      <c r="G52" s="2">
        <f>IFERROR(SUMIFS(MOUVEMENTS_STOCK!$E:$E,MOUVEMENTS_STOCK!$C:$C,A52,MOUVEMENTS_STOCK!$D:$D,"SORTIE"),0)</f>
        <v>0</v>
      </c>
      <c r="H52" s="2">
        <f t="shared" si="3"/>
        <v>3</v>
      </c>
      <c r="I52" s="2">
        <v>2</v>
      </c>
      <c r="J52" s="2" t="str">
        <f t="shared" si="4"/>
        <v>BAS</v>
      </c>
      <c r="K52" s="2" t="str">
        <f t="shared" si="5"/>
        <v>SURVEILLER</v>
      </c>
      <c r="L52" s="2"/>
      <c r="M52" s="2" t="s">
        <v>147</v>
      </c>
    </row>
    <row r="53" spans="1:13" x14ac:dyDescent="0.25">
      <c r="A53" s="2" t="s">
        <v>148</v>
      </c>
      <c r="B53" s="2"/>
      <c r="C53" s="2" t="s">
        <v>149</v>
      </c>
      <c r="D53" s="2" t="s">
        <v>128</v>
      </c>
      <c r="E53" s="2">
        <v>1</v>
      </c>
      <c r="F53" s="2">
        <f>IFERROR(SUMIFS(MOUVEMENTS_STOCK!$E:$E,MOUVEMENTS_STOCK!$C:$C,A53,MOUVEMENTS_STOCK!$D:$D,"ENTREE"),0)</f>
        <v>0</v>
      </c>
      <c r="G53" s="2">
        <f>IFERROR(SUMIFS(MOUVEMENTS_STOCK!$E:$E,MOUVEMENTS_STOCK!$C:$C,A53,MOUVEMENTS_STOCK!$D:$D,"SORTIE"),0)</f>
        <v>0</v>
      </c>
      <c r="H53" s="2">
        <f t="shared" si="3"/>
        <v>1</v>
      </c>
      <c r="I53" s="2">
        <v>1</v>
      </c>
      <c r="J53" s="2" t="str">
        <f t="shared" si="4"/>
        <v>CRITIQUE</v>
      </c>
      <c r="K53" s="2" t="str">
        <f t="shared" si="5"/>
        <v>A_REAPPROVISIONNER</v>
      </c>
      <c r="L53" s="2"/>
      <c r="M53" s="2"/>
    </row>
    <row r="54" spans="1:13" x14ac:dyDescent="0.25">
      <c r="A54" s="2" t="s">
        <v>150</v>
      </c>
      <c r="B54" s="2"/>
      <c r="C54" s="2" t="s">
        <v>151</v>
      </c>
      <c r="D54" s="2" t="s">
        <v>128</v>
      </c>
      <c r="E54" s="2">
        <v>6</v>
      </c>
      <c r="F54" s="2">
        <f>IFERROR(SUMIFS(MOUVEMENTS_STOCK!$E:$E,MOUVEMENTS_STOCK!$C:$C,A54,MOUVEMENTS_STOCK!$D:$D,"ENTREE"),0)</f>
        <v>0</v>
      </c>
      <c r="G54" s="2">
        <f>IFERROR(SUMIFS(MOUVEMENTS_STOCK!$E:$E,MOUVEMENTS_STOCK!$C:$C,A54,MOUVEMENTS_STOCK!$D:$D,"SORTIE"),0)</f>
        <v>0</v>
      </c>
      <c r="H54" s="2">
        <f t="shared" si="3"/>
        <v>6</v>
      </c>
      <c r="I54" s="2">
        <v>2</v>
      </c>
      <c r="J54" s="2" t="str">
        <f t="shared" si="4"/>
        <v>OK</v>
      </c>
      <c r="K54" s="2" t="str">
        <f t="shared" si="5"/>
        <v>OK</v>
      </c>
      <c r="L54" s="2"/>
      <c r="M54" s="2"/>
    </row>
    <row r="55" spans="1:13" x14ac:dyDescent="0.25">
      <c r="A55" s="2" t="s">
        <v>152</v>
      </c>
      <c r="B55" s="2"/>
      <c r="C55" s="2" t="s">
        <v>153</v>
      </c>
      <c r="D55" s="2" t="s">
        <v>128</v>
      </c>
      <c r="E55" s="2">
        <v>4</v>
      </c>
      <c r="F55" s="2">
        <f>IFERROR(SUMIFS(MOUVEMENTS_STOCK!$E:$E,MOUVEMENTS_STOCK!$C:$C,A55,MOUVEMENTS_STOCK!$D:$D,"ENTREE"),0)</f>
        <v>0</v>
      </c>
      <c r="G55" s="2">
        <f>IFERROR(SUMIFS(MOUVEMENTS_STOCK!$E:$E,MOUVEMENTS_STOCK!$C:$C,A55,MOUVEMENTS_STOCK!$D:$D,"SORTIE"),0)</f>
        <v>0</v>
      </c>
      <c r="H55" s="2">
        <f t="shared" si="3"/>
        <v>4</v>
      </c>
      <c r="I55" s="2">
        <v>2</v>
      </c>
      <c r="J55" s="2" t="str">
        <f t="shared" si="4"/>
        <v>OK</v>
      </c>
      <c r="K55" s="2" t="str">
        <f t="shared" si="5"/>
        <v>OK</v>
      </c>
      <c r="L55" s="2"/>
      <c r="M55" s="2"/>
    </row>
    <row r="56" spans="1:13" x14ac:dyDescent="0.25">
      <c r="A56" s="2" t="s">
        <v>154</v>
      </c>
      <c r="B56" s="2"/>
      <c r="C56" s="2" t="s">
        <v>155</v>
      </c>
      <c r="D56" s="2" t="s">
        <v>128</v>
      </c>
      <c r="E56" s="2">
        <v>5</v>
      </c>
      <c r="F56" s="2">
        <f>IFERROR(SUMIFS(MOUVEMENTS_STOCK!$E:$E,MOUVEMENTS_STOCK!$C:$C,A56,MOUVEMENTS_STOCK!$D:$D,"ENTREE"),0)</f>
        <v>0</v>
      </c>
      <c r="G56" s="2">
        <f>IFERROR(SUMIFS(MOUVEMENTS_STOCK!$E:$E,MOUVEMENTS_STOCK!$C:$C,A56,MOUVEMENTS_STOCK!$D:$D,"SORTIE"),0)</f>
        <v>0</v>
      </c>
      <c r="H56" s="2">
        <f t="shared" si="3"/>
        <v>5</v>
      </c>
      <c r="I56" s="2">
        <v>2</v>
      </c>
      <c r="J56" s="2" t="str">
        <f t="shared" si="4"/>
        <v>OK</v>
      </c>
      <c r="K56" s="2" t="str">
        <f t="shared" si="5"/>
        <v>OK</v>
      </c>
      <c r="L56" s="2"/>
      <c r="M56" s="2"/>
    </row>
    <row r="57" spans="1:13" x14ac:dyDescent="0.25">
      <c r="A57" s="2" t="s">
        <v>156</v>
      </c>
      <c r="B57" s="2"/>
      <c r="C57" s="2" t="s">
        <v>157</v>
      </c>
      <c r="D57" s="2" t="s">
        <v>128</v>
      </c>
      <c r="E57" s="2">
        <v>1</v>
      </c>
      <c r="F57" s="2">
        <f>IFERROR(SUMIFS(MOUVEMENTS_STOCK!$E:$E,MOUVEMENTS_STOCK!$C:$C,A57,MOUVEMENTS_STOCK!$D:$D,"ENTREE"),0)</f>
        <v>0</v>
      </c>
      <c r="G57" s="2">
        <f>IFERROR(SUMIFS(MOUVEMENTS_STOCK!$E:$E,MOUVEMENTS_STOCK!$C:$C,A57,MOUVEMENTS_STOCK!$D:$D,"SORTIE"),0)</f>
        <v>0</v>
      </c>
      <c r="H57" s="2">
        <f t="shared" si="3"/>
        <v>1</v>
      </c>
      <c r="I57" s="2">
        <v>1</v>
      </c>
      <c r="J57" s="2" t="str">
        <f t="shared" si="4"/>
        <v>CRITIQUE</v>
      </c>
      <c r="K57" s="2" t="str">
        <f t="shared" si="5"/>
        <v>A_REAPPROVISIONNER</v>
      </c>
      <c r="L57" s="2" t="s">
        <v>158</v>
      </c>
      <c r="M57" s="2" t="s">
        <v>159</v>
      </c>
    </row>
    <row r="58" spans="1:13" x14ac:dyDescent="0.25">
      <c r="A58" s="2" t="s">
        <v>160</v>
      </c>
      <c r="B58" s="2"/>
      <c r="C58" s="2" t="s">
        <v>161</v>
      </c>
      <c r="D58" s="2" t="s">
        <v>128</v>
      </c>
      <c r="E58" s="2">
        <v>16</v>
      </c>
      <c r="F58" s="2">
        <f>IFERROR(SUMIFS(MOUVEMENTS_STOCK!$E:$E,MOUVEMENTS_STOCK!$C:$C,A58,MOUVEMENTS_STOCK!$D:$D,"ENTREE"),0)</f>
        <v>0</v>
      </c>
      <c r="G58" s="2">
        <f>IFERROR(SUMIFS(MOUVEMENTS_STOCK!$E:$E,MOUVEMENTS_STOCK!$C:$C,A58,MOUVEMENTS_STOCK!$D:$D,"SORTIE"),0)</f>
        <v>0</v>
      </c>
      <c r="H58" s="2">
        <f t="shared" si="3"/>
        <v>16</v>
      </c>
      <c r="I58" s="2">
        <v>2</v>
      </c>
      <c r="J58" s="2" t="str">
        <f t="shared" si="4"/>
        <v>OK</v>
      </c>
      <c r="K58" s="2" t="str">
        <f t="shared" si="5"/>
        <v>OK</v>
      </c>
      <c r="L58" s="2"/>
      <c r="M58" s="2" t="s">
        <v>162</v>
      </c>
    </row>
    <row r="59" spans="1:13" x14ac:dyDescent="0.25">
      <c r="A59" s="2" t="s">
        <v>163</v>
      </c>
      <c r="B59" s="2"/>
      <c r="C59" s="2" t="s">
        <v>164</v>
      </c>
      <c r="D59" s="2" t="s">
        <v>128</v>
      </c>
      <c r="E59" s="2">
        <v>4</v>
      </c>
      <c r="F59" s="2">
        <f>IFERROR(SUMIFS(MOUVEMENTS_STOCK!$E:$E,MOUVEMENTS_STOCK!$C:$C,A59,MOUVEMENTS_STOCK!$D:$D,"ENTREE"),0)</f>
        <v>0</v>
      </c>
      <c r="G59" s="2">
        <f>IFERROR(SUMIFS(MOUVEMENTS_STOCK!$E:$E,MOUVEMENTS_STOCK!$C:$C,A59,MOUVEMENTS_STOCK!$D:$D,"SORTIE"),0)</f>
        <v>0</v>
      </c>
      <c r="H59" s="2">
        <f t="shared" si="3"/>
        <v>4</v>
      </c>
      <c r="I59" s="2">
        <v>2</v>
      </c>
      <c r="J59" s="2" t="str">
        <f t="shared" si="4"/>
        <v>OK</v>
      </c>
      <c r="K59" s="2" t="str">
        <f t="shared" si="5"/>
        <v>OK</v>
      </c>
      <c r="L59" s="2"/>
      <c r="M59" s="2" t="s">
        <v>165</v>
      </c>
    </row>
    <row r="60" spans="1:13" x14ac:dyDescent="0.25">
      <c r="A60" s="2" t="s">
        <v>166</v>
      </c>
      <c r="B60" s="2"/>
      <c r="C60" s="2" t="s">
        <v>167</v>
      </c>
      <c r="D60" s="2" t="s">
        <v>128</v>
      </c>
      <c r="E60" s="2">
        <v>1</v>
      </c>
      <c r="F60" s="2">
        <f>IFERROR(SUMIFS(MOUVEMENTS_STOCK!$E:$E,MOUVEMENTS_STOCK!$C:$C,A60,MOUVEMENTS_STOCK!$D:$D,"ENTREE"),0)</f>
        <v>0</v>
      </c>
      <c r="G60" s="2">
        <f>IFERROR(SUMIFS(MOUVEMENTS_STOCK!$E:$E,MOUVEMENTS_STOCK!$C:$C,A60,MOUVEMENTS_STOCK!$D:$D,"SORTIE"),0)</f>
        <v>0</v>
      </c>
      <c r="H60" s="2">
        <f t="shared" si="3"/>
        <v>1</v>
      </c>
      <c r="I60" s="2">
        <v>1</v>
      </c>
      <c r="J60" s="2" t="str">
        <f t="shared" si="4"/>
        <v>CRITIQUE</v>
      </c>
      <c r="K60" s="2" t="str">
        <f t="shared" si="5"/>
        <v>A_REAPPROVISIONNER</v>
      </c>
      <c r="L60" s="2"/>
      <c r="M60" s="2" t="s">
        <v>168</v>
      </c>
    </row>
    <row r="61" spans="1:13" x14ac:dyDescent="0.25">
      <c r="A61" s="2" t="s">
        <v>169</v>
      </c>
      <c r="B61" s="2"/>
      <c r="C61" s="2" t="s">
        <v>170</v>
      </c>
      <c r="D61" s="2" t="s">
        <v>128</v>
      </c>
      <c r="E61" s="2">
        <v>5</v>
      </c>
      <c r="F61" s="2">
        <f>IFERROR(SUMIFS(MOUVEMENTS_STOCK!$E:$E,MOUVEMENTS_STOCK!$C:$C,A61,MOUVEMENTS_STOCK!$D:$D,"ENTREE"),0)</f>
        <v>0</v>
      </c>
      <c r="G61" s="2">
        <f>IFERROR(SUMIFS(MOUVEMENTS_STOCK!$E:$E,MOUVEMENTS_STOCK!$C:$C,A61,MOUVEMENTS_STOCK!$D:$D,"SORTIE"),0)</f>
        <v>0</v>
      </c>
      <c r="H61" s="2">
        <f t="shared" si="3"/>
        <v>5</v>
      </c>
      <c r="I61" s="2">
        <v>2</v>
      </c>
      <c r="J61" s="2" t="str">
        <f t="shared" si="4"/>
        <v>OK</v>
      </c>
      <c r="K61" s="2" t="str">
        <f t="shared" si="5"/>
        <v>OK</v>
      </c>
      <c r="L61" s="2" t="s">
        <v>134</v>
      </c>
      <c r="M61" s="2" t="s">
        <v>171</v>
      </c>
    </row>
    <row r="62" spans="1:13" x14ac:dyDescent="0.25">
      <c r="A62" s="2" t="s">
        <v>172</v>
      </c>
      <c r="B62" s="2"/>
      <c r="C62" s="2" t="s">
        <v>173</v>
      </c>
      <c r="D62" s="2" t="s">
        <v>128</v>
      </c>
      <c r="E62" s="2">
        <v>2</v>
      </c>
      <c r="F62" s="2">
        <f>IFERROR(SUMIFS(MOUVEMENTS_STOCK!$E:$E,MOUVEMENTS_STOCK!$C:$C,A62,MOUVEMENTS_STOCK!$D:$D,"ENTREE"),0)</f>
        <v>0</v>
      </c>
      <c r="G62" s="2">
        <f>IFERROR(SUMIFS(MOUVEMENTS_STOCK!$E:$E,MOUVEMENTS_STOCK!$C:$C,A62,MOUVEMENTS_STOCK!$D:$D,"SORTIE"),0)</f>
        <v>0</v>
      </c>
      <c r="H62" s="2">
        <f t="shared" si="3"/>
        <v>2</v>
      </c>
      <c r="I62" s="2">
        <v>2</v>
      </c>
      <c r="J62" s="2" t="str">
        <f t="shared" si="4"/>
        <v>CRITIQUE</v>
      </c>
      <c r="K62" s="2" t="str">
        <f t="shared" si="5"/>
        <v>A_REAPPROVISIONNER</v>
      </c>
      <c r="L62" s="2" t="s">
        <v>29</v>
      </c>
      <c r="M62" s="2" t="s">
        <v>165</v>
      </c>
    </row>
    <row r="63" spans="1:13" x14ac:dyDescent="0.25">
      <c r="A63" s="2" t="s">
        <v>174</v>
      </c>
      <c r="B63" s="2"/>
      <c r="C63" s="2" t="s">
        <v>175</v>
      </c>
      <c r="D63" s="2" t="s">
        <v>128</v>
      </c>
      <c r="E63" s="2">
        <v>1</v>
      </c>
      <c r="F63" s="2">
        <f>IFERROR(SUMIFS(MOUVEMENTS_STOCK!$E:$E,MOUVEMENTS_STOCK!$C:$C,A63,MOUVEMENTS_STOCK!$D:$D,"ENTREE"),0)</f>
        <v>0</v>
      </c>
      <c r="G63" s="2">
        <f>IFERROR(SUMIFS(MOUVEMENTS_STOCK!$E:$E,MOUVEMENTS_STOCK!$C:$C,A63,MOUVEMENTS_STOCK!$D:$D,"SORTIE"),0)</f>
        <v>0</v>
      </c>
      <c r="H63" s="2">
        <f t="shared" si="3"/>
        <v>1</v>
      </c>
      <c r="I63" s="2">
        <v>1</v>
      </c>
      <c r="J63" s="2" t="str">
        <f t="shared" si="4"/>
        <v>CRITIQUE</v>
      </c>
      <c r="K63" s="2" t="str">
        <f t="shared" si="5"/>
        <v>A_REAPPROVISIONNER</v>
      </c>
      <c r="L63" s="2"/>
      <c r="M63" s="2"/>
    </row>
    <row r="64" spans="1:13" x14ac:dyDescent="0.25">
      <c r="A64" s="2" t="s">
        <v>176</v>
      </c>
      <c r="B64" s="2"/>
      <c r="C64" s="2" t="s">
        <v>177</v>
      </c>
      <c r="D64" s="2" t="s">
        <v>128</v>
      </c>
      <c r="E64" s="2">
        <v>2</v>
      </c>
      <c r="F64" s="2">
        <f>IFERROR(SUMIFS(MOUVEMENTS_STOCK!$E:$E,MOUVEMENTS_STOCK!$C:$C,A64,MOUVEMENTS_STOCK!$D:$D,"ENTREE"),0)</f>
        <v>0</v>
      </c>
      <c r="G64" s="2">
        <f>IFERROR(SUMIFS(MOUVEMENTS_STOCK!$E:$E,MOUVEMENTS_STOCK!$C:$C,A64,MOUVEMENTS_STOCK!$D:$D,"SORTIE"),0)</f>
        <v>0</v>
      </c>
      <c r="H64" s="2">
        <f t="shared" si="3"/>
        <v>2</v>
      </c>
      <c r="I64" s="2">
        <v>2</v>
      </c>
      <c r="J64" s="2" t="str">
        <f t="shared" si="4"/>
        <v>CRITIQUE</v>
      </c>
      <c r="K64" s="2" t="str">
        <f t="shared" si="5"/>
        <v>A_REAPPROVISIONNER</v>
      </c>
      <c r="L64" s="2"/>
      <c r="M64" s="2" t="s">
        <v>178</v>
      </c>
    </row>
    <row r="65" spans="1:13" x14ac:dyDescent="0.25">
      <c r="A65" s="2" t="s">
        <v>179</v>
      </c>
      <c r="B65" s="2"/>
      <c r="C65" s="2" t="s">
        <v>180</v>
      </c>
      <c r="D65" s="2" t="s">
        <v>128</v>
      </c>
      <c r="E65" s="2">
        <v>3</v>
      </c>
      <c r="F65" s="2">
        <f>IFERROR(SUMIFS(MOUVEMENTS_STOCK!$E:$E,MOUVEMENTS_STOCK!$C:$C,A65,MOUVEMENTS_STOCK!$D:$D,"ENTREE"),0)</f>
        <v>0</v>
      </c>
      <c r="G65" s="2">
        <f>IFERROR(SUMIFS(MOUVEMENTS_STOCK!$E:$E,MOUVEMENTS_STOCK!$C:$C,A65,MOUVEMENTS_STOCK!$D:$D,"SORTIE"),0)</f>
        <v>0</v>
      </c>
      <c r="H65" s="2">
        <f t="shared" si="3"/>
        <v>3</v>
      </c>
      <c r="I65" s="2">
        <v>2</v>
      </c>
      <c r="J65" s="2" t="str">
        <f t="shared" si="4"/>
        <v>BAS</v>
      </c>
      <c r="K65" s="2" t="str">
        <f t="shared" si="5"/>
        <v>SURVEILLER</v>
      </c>
      <c r="L65" s="2"/>
      <c r="M65" s="2"/>
    </row>
    <row r="66" spans="1:13" x14ac:dyDescent="0.25">
      <c r="A66" s="2" t="s">
        <v>181</v>
      </c>
      <c r="B66" s="2"/>
      <c r="C66" s="2" t="s">
        <v>182</v>
      </c>
      <c r="D66" s="2" t="s">
        <v>128</v>
      </c>
      <c r="E66" s="2">
        <v>3</v>
      </c>
      <c r="F66" s="2">
        <f>IFERROR(SUMIFS(MOUVEMENTS_STOCK!$E:$E,MOUVEMENTS_STOCK!$C:$C,A66,MOUVEMENTS_STOCK!$D:$D,"ENTREE"),0)</f>
        <v>0</v>
      </c>
      <c r="G66" s="2">
        <f>IFERROR(SUMIFS(MOUVEMENTS_STOCK!$E:$E,MOUVEMENTS_STOCK!$C:$C,A66,MOUVEMENTS_STOCK!$D:$D,"SORTIE"),0)</f>
        <v>0</v>
      </c>
      <c r="H66" s="2">
        <f t="shared" ref="H66:H97" si="6">E66+F66-G66</f>
        <v>3</v>
      </c>
      <c r="I66" s="2">
        <v>2</v>
      </c>
      <c r="J66" s="2" t="str">
        <f t="shared" ref="J66:J97" si="7">IF(H66&lt;=I66,"CRITIQUE",IF(H66&lt;=I66+1,"BAS","OK"))</f>
        <v>BAS</v>
      </c>
      <c r="K66" s="2" t="str">
        <f t="shared" ref="K66:K97" si="8">IF(J66="CRITIQUE","A_REAPPROVISIONNER",IF(J66="BAS","SURVEILLER","OK"))</f>
        <v>SURVEILLER</v>
      </c>
      <c r="L66" s="2"/>
      <c r="M66" s="2" t="s">
        <v>165</v>
      </c>
    </row>
    <row r="67" spans="1:13" x14ac:dyDescent="0.25">
      <c r="A67" s="2" t="s">
        <v>183</v>
      </c>
      <c r="B67" s="2"/>
      <c r="C67" s="2" t="s">
        <v>184</v>
      </c>
      <c r="D67" s="2" t="s">
        <v>128</v>
      </c>
      <c r="E67" s="2">
        <v>2</v>
      </c>
      <c r="F67" s="2">
        <f>IFERROR(SUMIFS(MOUVEMENTS_STOCK!$E:$E,MOUVEMENTS_STOCK!$C:$C,A67,MOUVEMENTS_STOCK!$D:$D,"ENTREE"),0)</f>
        <v>0</v>
      </c>
      <c r="G67" s="2">
        <f>IFERROR(SUMIFS(MOUVEMENTS_STOCK!$E:$E,MOUVEMENTS_STOCK!$C:$C,A67,MOUVEMENTS_STOCK!$D:$D,"SORTIE"),0)</f>
        <v>0</v>
      </c>
      <c r="H67" s="2">
        <f t="shared" si="6"/>
        <v>2</v>
      </c>
      <c r="I67" s="2">
        <v>2</v>
      </c>
      <c r="J67" s="2" t="str">
        <f t="shared" si="7"/>
        <v>CRITIQUE</v>
      </c>
      <c r="K67" s="2" t="str">
        <f t="shared" si="8"/>
        <v>A_REAPPROVISIONNER</v>
      </c>
      <c r="L67" s="2"/>
      <c r="M67" s="2"/>
    </row>
    <row r="68" spans="1:13" x14ac:dyDescent="0.25">
      <c r="A68" s="2" t="s">
        <v>185</v>
      </c>
      <c r="B68" s="2"/>
      <c r="C68" s="2" t="s">
        <v>186</v>
      </c>
      <c r="D68" s="2" t="s">
        <v>128</v>
      </c>
      <c r="E68" s="2">
        <v>2</v>
      </c>
      <c r="F68" s="2">
        <f>IFERROR(SUMIFS(MOUVEMENTS_STOCK!$E:$E,MOUVEMENTS_STOCK!$C:$C,A68,MOUVEMENTS_STOCK!$D:$D,"ENTREE"),0)</f>
        <v>0</v>
      </c>
      <c r="G68" s="2">
        <f>IFERROR(SUMIFS(MOUVEMENTS_STOCK!$E:$E,MOUVEMENTS_STOCK!$C:$C,A68,MOUVEMENTS_STOCK!$D:$D,"SORTIE"),0)</f>
        <v>0</v>
      </c>
      <c r="H68" s="2">
        <f t="shared" si="6"/>
        <v>2</v>
      </c>
      <c r="I68" s="2">
        <v>2</v>
      </c>
      <c r="J68" s="2" t="str">
        <f t="shared" si="7"/>
        <v>CRITIQUE</v>
      </c>
      <c r="K68" s="2" t="str">
        <f t="shared" si="8"/>
        <v>A_REAPPROVISIONNER</v>
      </c>
      <c r="L68" s="2"/>
      <c r="M68" s="2" t="s">
        <v>187</v>
      </c>
    </row>
    <row r="69" spans="1:13" x14ac:dyDescent="0.25">
      <c r="A69" s="2" t="s">
        <v>188</v>
      </c>
      <c r="B69" s="2"/>
      <c r="C69" s="2" t="s">
        <v>189</v>
      </c>
      <c r="D69" s="2" t="s">
        <v>128</v>
      </c>
      <c r="E69" s="2">
        <v>1</v>
      </c>
      <c r="F69" s="2">
        <f>IFERROR(SUMIFS(MOUVEMENTS_STOCK!$E:$E,MOUVEMENTS_STOCK!$C:$C,A69,MOUVEMENTS_STOCK!$D:$D,"ENTREE"),0)</f>
        <v>0</v>
      </c>
      <c r="G69" s="2">
        <f>IFERROR(SUMIFS(MOUVEMENTS_STOCK!$E:$E,MOUVEMENTS_STOCK!$C:$C,A69,MOUVEMENTS_STOCK!$D:$D,"SORTIE"),0)</f>
        <v>0</v>
      </c>
      <c r="H69" s="2">
        <f t="shared" si="6"/>
        <v>1</v>
      </c>
      <c r="I69" s="2">
        <v>1</v>
      </c>
      <c r="J69" s="2" t="str">
        <f t="shared" si="7"/>
        <v>CRITIQUE</v>
      </c>
      <c r="K69" s="2" t="str">
        <f t="shared" si="8"/>
        <v>A_REAPPROVISIONNER</v>
      </c>
      <c r="L69" s="2"/>
      <c r="M69" s="2" t="s">
        <v>165</v>
      </c>
    </row>
    <row r="70" spans="1:13" x14ac:dyDescent="0.25">
      <c r="A70" s="2" t="s">
        <v>190</v>
      </c>
      <c r="B70" s="2"/>
      <c r="C70" s="2" t="s">
        <v>191</v>
      </c>
      <c r="D70" s="2" t="s">
        <v>128</v>
      </c>
      <c r="E70" s="2">
        <v>1</v>
      </c>
      <c r="F70" s="2">
        <f>IFERROR(SUMIFS(MOUVEMENTS_STOCK!$E:$E,MOUVEMENTS_STOCK!$C:$C,A70,MOUVEMENTS_STOCK!$D:$D,"ENTREE"),0)</f>
        <v>0</v>
      </c>
      <c r="G70" s="2">
        <f>IFERROR(SUMIFS(MOUVEMENTS_STOCK!$E:$E,MOUVEMENTS_STOCK!$C:$C,A70,MOUVEMENTS_STOCK!$D:$D,"SORTIE"),0)</f>
        <v>0</v>
      </c>
      <c r="H70" s="2">
        <f t="shared" si="6"/>
        <v>1</v>
      </c>
      <c r="I70" s="2">
        <v>1</v>
      </c>
      <c r="J70" s="2" t="str">
        <f t="shared" si="7"/>
        <v>CRITIQUE</v>
      </c>
      <c r="K70" s="2" t="str">
        <f t="shared" si="8"/>
        <v>A_REAPPROVISIONNER</v>
      </c>
      <c r="L70" s="2"/>
      <c r="M70" s="2" t="s">
        <v>165</v>
      </c>
    </row>
    <row r="71" spans="1:13" x14ac:dyDescent="0.25">
      <c r="A71" s="2" t="s">
        <v>192</v>
      </c>
      <c r="B71" s="2"/>
      <c r="C71" s="2" t="s">
        <v>193</v>
      </c>
      <c r="D71" s="2" t="s">
        <v>128</v>
      </c>
      <c r="E71" s="2">
        <v>2</v>
      </c>
      <c r="F71" s="2">
        <f>IFERROR(SUMIFS(MOUVEMENTS_STOCK!$E:$E,MOUVEMENTS_STOCK!$C:$C,A71,MOUVEMENTS_STOCK!$D:$D,"ENTREE"),0)</f>
        <v>0</v>
      </c>
      <c r="G71" s="2">
        <f>IFERROR(SUMIFS(MOUVEMENTS_STOCK!$E:$E,MOUVEMENTS_STOCK!$C:$C,A71,MOUVEMENTS_STOCK!$D:$D,"SORTIE"),0)</f>
        <v>0</v>
      </c>
      <c r="H71" s="2">
        <f t="shared" si="6"/>
        <v>2</v>
      </c>
      <c r="I71" s="2">
        <v>2</v>
      </c>
      <c r="J71" s="2" t="str">
        <f t="shared" si="7"/>
        <v>CRITIQUE</v>
      </c>
      <c r="K71" s="2" t="str">
        <f t="shared" si="8"/>
        <v>A_REAPPROVISIONNER</v>
      </c>
      <c r="L71" s="2"/>
      <c r="M71" s="2" t="s">
        <v>194</v>
      </c>
    </row>
    <row r="72" spans="1:13" x14ac:dyDescent="0.25">
      <c r="A72" s="2" t="s">
        <v>195</v>
      </c>
      <c r="B72" s="2"/>
      <c r="C72" s="2" t="s">
        <v>64</v>
      </c>
      <c r="D72" s="2" t="s">
        <v>196</v>
      </c>
      <c r="E72" s="2">
        <v>17</v>
      </c>
      <c r="F72" s="2">
        <f>IFERROR(SUMIFS(MOUVEMENTS_STOCK!$E:$E,MOUVEMENTS_STOCK!$C:$C,A72,MOUVEMENTS_STOCK!$D:$D,"ENTREE"),0)</f>
        <v>0</v>
      </c>
      <c r="G72" s="2">
        <f>IFERROR(SUMIFS(MOUVEMENTS_STOCK!$E:$E,MOUVEMENTS_STOCK!$C:$C,A72,MOUVEMENTS_STOCK!$D:$D,"SORTIE"),0)</f>
        <v>0</v>
      </c>
      <c r="H72" s="2">
        <f t="shared" si="6"/>
        <v>17</v>
      </c>
      <c r="I72" s="2">
        <v>2</v>
      </c>
      <c r="J72" s="2" t="str">
        <f t="shared" si="7"/>
        <v>OK</v>
      </c>
      <c r="K72" s="2" t="str">
        <f t="shared" si="8"/>
        <v>OK</v>
      </c>
      <c r="L72" s="2" t="s">
        <v>134</v>
      </c>
      <c r="M72" s="2" t="s">
        <v>197</v>
      </c>
    </row>
    <row r="73" spans="1:13" x14ac:dyDescent="0.25">
      <c r="A73" s="2" t="s">
        <v>198</v>
      </c>
      <c r="B73" s="2"/>
      <c r="C73" s="2" t="s">
        <v>199</v>
      </c>
      <c r="D73" s="2" t="s">
        <v>196</v>
      </c>
      <c r="E73" s="2">
        <v>1</v>
      </c>
      <c r="F73" s="2">
        <f>IFERROR(SUMIFS(MOUVEMENTS_STOCK!$E:$E,MOUVEMENTS_STOCK!$C:$C,A73,MOUVEMENTS_STOCK!$D:$D,"ENTREE"),0)</f>
        <v>0</v>
      </c>
      <c r="G73" s="2">
        <f>IFERROR(SUMIFS(MOUVEMENTS_STOCK!$E:$E,MOUVEMENTS_STOCK!$C:$C,A73,MOUVEMENTS_STOCK!$D:$D,"SORTIE"),0)</f>
        <v>0</v>
      </c>
      <c r="H73" s="2">
        <f t="shared" si="6"/>
        <v>1</v>
      </c>
      <c r="I73" s="2">
        <v>1</v>
      </c>
      <c r="J73" s="2" t="str">
        <f t="shared" si="7"/>
        <v>CRITIQUE</v>
      </c>
      <c r="K73" s="2" t="str">
        <f t="shared" si="8"/>
        <v>A_REAPPROVISIONNER</v>
      </c>
      <c r="L73" s="2" t="s">
        <v>29</v>
      </c>
      <c r="M73" s="2"/>
    </row>
    <row r="74" spans="1:13" x14ac:dyDescent="0.25">
      <c r="A74" s="2" t="s">
        <v>200</v>
      </c>
      <c r="B74" s="2"/>
      <c r="C74" s="2" t="s">
        <v>201</v>
      </c>
      <c r="D74" s="2" t="s">
        <v>196</v>
      </c>
      <c r="E74" s="2">
        <v>11</v>
      </c>
      <c r="F74" s="2">
        <f>IFERROR(SUMIFS(MOUVEMENTS_STOCK!$E:$E,MOUVEMENTS_STOCK!$C:$C,A74,MOUVEMENTS_STOCK!$D:$D,"ENTREE"),0)</f>
        <v>0</v>
      </c>
      <c r="G74" s="2">
        <f>IFERROR(SUMIFS(MOUVEMENTS_STOCK!$E:$E,MOUVEMENTS_STOCK!$C:$C,A74,MOUVEMENTS_STOCK!$D:$D,"SORTIE"),0)</f>
        <v>0</v>
      </c>
      <c r="H74" s="2">
        <f t="shared" si="6"/>
        <v>11</v>
      </c>
      <c r="I74" s="2">
        <v>2</v>
      </c>
      <c r="J74" s="2" t="str">
        <f t="shared" si="7"/>
        <v>OK</v>
      </c>
      <c r="K74" s="2" t="str">
        <f t="shared" si="8"/>
        <v>OK</v>
      </c>
      <c r="L74" s="2"/>
      <c r="M74" s="2" t="s">
        <v>202</v>
      </c>
    </row>
    <row r="75" spans="1:13" x14ac:dyDescent="0.25">
      <c r="A75" s="2" t="s">
        <v>203</v>
      </c>
      <c r="B75" s="2"/>
      <c r="C75" s="2" t="s">
        <v>204</v>
      </c>
      <c r="D75" s="2" t="s">
        <v>196</v>
      </c>
      <c r="E75" s="2">
        <v>2</v>
      </c>
      <c r="F75" s="2">
        <f>IFERROR(SUMIFS(MOUVEMENTS_STOCK!$E:$E,MOUVEMENTS_STOCK!$C:$C,A75,MOUVEMENTS_STOCK!$D:$D,"ENTREE"),0)</f>
        <v>0</v>
      </c>
      <c r="G75" s="2">
        <f>IFERROR(SUMIFS(MOUVEMENTS_STOCK!$E:$E,MOUVEMENTS_STOCK!$C:$C,A75,MOUVEMENTS_STOCK!$D:$D,"SORTIE"),0)</f>
        <v>0</v>
      </c>
      <c r="H75" s="2">
        <f t="shared" si="6"/>
        <v>2</v>
      </c>
      <c r="I75" s="2">
        <v>2</v>
      </c>
      <c r="J75" s="2" t="str">
        <f t="shared" si="7"/>
        <v>CRITIQUE</v>
      </c>
      <c r="K75" s="2" t="str">
        <f t="shared" si="8"/>
        <v>A_REAPPROVISIONNER</v>
      </c>
      <c r="L75" s="2"/>
      <c r="M75" s="2" t="s">
        <v>205</v>
      </c>
    </row>
    <row r="76" spans="1:13" ht="30" x14ac:dyDescent="0.25">
      <c r="A76" s="2" t="s">
        <v>206</v>
      </c>
      <c r="B76" s="2"/>
      <c r="C76" s="2" t="s">
        <v>207</v>
      </c>
      <c r="D76" s="2" t="s">
        <v>196</v>
      </c>
      <c r="E76" s="2">
        <v>8</v>
      </c>
      <c r="F76" s="2">
        <f>IFERROR(SUMIFS(MOUVEMENTS_STOCK!$E:$E,MOUVEMENTS_STOCK!$C:$C,A76,MOUVEMENTS_STOCK!$D:$D,"ENTREE"),0)</f>
        <v>0</v>
      </c>
      <c r="G76" s="2">
        <f>IFERROR(SUMIFS(MOUVEMENTS_STOCK!$E:$E,MOUVEMENTS_STOCK!$C:$C,A76,MOUVEMENTS_STOCK!$D:$D,"SORTIE"),0)</f>
        <v>0</v>
      </c>
      <c r="H76" s="2">
        <f t="shared" si="6"/>
        <v>8</v>
      </c>
      <c r="I76" s="2">
        <v>2</v>
      </c>
      <c r="J76" s="2" t="str">
        <f t="shared" si="7"/>
        <v>OK</v>
      </c>
      <c r="K76" s="2" t="str">
        <f t="shared" si="8"/>
        <v>OK</v>
      </c>
      <c r="L76" s="2"/>
      <c r="M76" s="2" t="s">
        <v>208</v>
      </c>
    </row>
    <row r="77" spans="1:13" x14ac:dyDescent="0.25">
      <c r="A77" s="2" t="s">
        <v>209</v>
      </c>
      <c r="B77" s="2"/>
      <c r="C77" s="2" t="s">
        <v>210</v>
      </c>
      <c r="D77" s="2" t="s">
        <v>196</v>
      </c>
      <c r="E77" s="2">
        <v>8</v>
      </c>
      <c r="F77" s="2">
        <f>IFERROR(SUMIFS(MOUVEMENTS_STOCK!$E:$E,MOUVEMENTS_STOCK!$C:$C,A77,MOUVEMENTS_STOCK!$D:$D,"ENTREE"),0)</f>
        <v>0</v>
      </c>
      <c r="G77" s="2">
        <f>IFERROR(SUMIFS(MOUVEMENTS_STOCK!$E:$E,MOUVEMENTS_STOCK!$C:$C,A77,MOUVEMENTS_STOCK!$D:$D,"SORTIE"),0)</f>
        <v>0</v>
      </c>
      <c r="H77" s="2">
        <f t="shared" si="6"/>
        <v>8</v>
      </c>
      <c r="I77" s="2">
        <v>2</v>
      </c>
      <c r="J77" s="2" t="str">
        <f t="shared" si="7"/>
        <v>OK</v>
      </c>
      <c r="K77" s="2" t="str">
        <f t="shared" si="8"/>
        <v>OK</v>
      </c>
      <c r="L77" s="2"/>
      <c r="M77" s="2" t="s">
        <v>211</v>
      </c>
    </row>
    <row r="78" spans="1:13" x14ac:dyDescent="0.25">
      <c r="A78" s="2" t="s">
        <v>212</v>
      </c>
      <c r="B78" s="2"/>
      <c r="C78" s="2" t="s">
        <v>213</v>
      </c>
      <c r="D78" s="2" t="s">
        <v>196</v>
      </c>
      <c r="E78" s="2">
        <v>11</v>
      </c>
      <c r="F78" s="2">
        <f>IFERROR(SUMIFS(MOUVEMENTS_STOCK!$E:$E,MOUVEMENTS_STOCK!$C:$C,A78,MOUVEMENTS_STOCK!$D:$D,"ENTREE"),0)</f>
        <v>0</v>
      </c>
      <c r="G78" s="2">
        <f>IFERROR(SUMIFS(MOUVEMENTS_STOCK!$E:$E,MOUVEMENTS_STOCK!$C:$C,A78,MOUVEMENTS_STOCK!$D:$D,"SORTIE"),0)</f>
        <v>0</v>
      </c>
      <c r="H78" s="2">
        <f t="shared" si="6"/>
        <v>11</v>
      </c>
      <c r="I78" s="2">
        <v>2</v>
      </c>
      <c r="J78" s="2" t="str">
        <f t="shared" si="7"/>
        <v>OK</v>
      </c>
      <c r="K78" s="2" t="str">
        <f t="shared" si="8"/>
        <v>OK</v>
      </c>
      <c r="L78" s="2"/>
      <c r="M78" s="2" t="s">
        <v>214</v>
      </c>
    </row>
  </sheetData>
  <conditionalFormatting sqref="A2:M78">
    <cfRule type="expression" dxfId="2" priority="1">
      <formula>$J2="CRITIQUE"</formula>
    </cfRule>
    <cfRule type="expression" dxfId="1" priority="2">
      <formula>$J2="BAS"</formula>
    </cfRule>
    <cfRule type="expression" dxfId="0" priority="3">
      <formula>$J2="OK"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PARAMETRES!$D$3:$D$10</xm:f>
          </x14:formula1>
          <xm:sqref>B2:B78</xm:sqref>
        </x14:dataValidation>
        <x14:dataValidation type="list" xr:uid="{00000000-0002-0000-0000-000001000000}">
          <x14:formula1>
            <xm:f>PARAMETRES!$E$3:$E$9</xm:f>
          </x14:formula1>
          <xm:sqref>D2:D78</xm:sqref>
        </x14:dataValidation>
        <x14:dataValidation type="list" allowBlank="1" xr:uid="{00000000-0002-0000-0000-000002000000}">
          <x14:formula1>
            <xm:f>PARAMETRES!$A$3:$A$7</xm:f>
          </x14:formula1>
          <xm:sqref>K2:K78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9.140625" defaultRowHeight="15" x14ac:dyDescent="0.25"/>
  <cols>
    <col min="1" max="2" width="12" customWidth="1"/>
    <col min="3" max="3" width="13" customWidth="1"/>
    <col min="4" max="6" width="12" customWidth="1"/>
    <col min="7" max="7" width="13" customWidth="1"/>
    <col min="8" max="8" width="21" customWidth="1"/>
  </cols>
  <sheetData>
    <row r="1" spans="1:8" x14ac:dyDescent="0.25">
      <c r="A1" s="1" t="s">
        <v>215</v>
      </c>
      <c r="B1" s="1" t="s">
        <v>216</v>
      </c>
      <c r="C1" s="1" t="s">
        <v>0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</row>
    <row r="2" spans="1:8" x14ac:dyDescent="0.25">
      <c r="A2" s="3">
        <v>46013</v>
      </c>
      <c r="B2" s="2" t="s">
        <v>222</v>
      </c>
      <c r="C2" s="2" t="s">
        <v>13</v>
      </c>
      <c r="D2" s="2" t="s">
        <v>223</v>
      </c>
      <c r="E2" s="2">
        <v>1</v>
      </c>
      <c r="F2" s="2" t="s">
        <v>224</v>
      </c>
      <c r="G2" s="2"/>
      <c r="H2" s="2" t="s">
        <v>225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PARAMETRES!$B$3:$B$5</xm:f>
          </x14:formula1>
          <xm:sqref>D2:D5000</xm:sqref>
        </x14:dataValidation>
        <x14:dataValidation type="list" allowBlank="1" xr:uid="{00000000-0002-0000-0100-000001000000}">
          <x14:formula1>
            <xm:f>PARAMETRES!$C$3:$C$10</xm:f>
          </x14:formula1>
          <xm:sqref>F2:F5000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>
      <pane ySplit="1" topLeftCell="A2" activePane="bottomLeft" state="frozen"/>
      <selection pane="bottomLeft" activeCell="E3" sqref="E3"/>
    </sheetView>
  </sheetViews>
  <sheetFormatPr baseColWidth="10" defaultColWidth="9.140625" defaultRowHeight="15" x14ac:dyDescent="0.25"/>
  <cols>
    <col min="1" max="1" width="12" customWidth="1"/>
    <col min="2" max="2" width="13" customWidth="1"/>
    <col min="3" max="3" width="12" customWidth="1"/>
    <col min="4" max="4" width="13" customWidth="1"/>
    <col min="5" max="5" width="14" customWidth="1"/>
    <col min="6" max="6" width="12" customWidth="1"/>
    <col min="7" max="7" width="20" customWidth="1"/>
    <col min="8" max="8" width="13" customWidth="1"/>
  </cols>
  <sheetData>
    <row r="1" spans="1:8" ht="30" x14ac:dyDescent="0.25">
      <c r="A1" s="1" t="s">
        <v>215</v>
      </c>
      <c r="B1" s="1" t="s">
        <v>0</v>
      </c>
      <c r="C1" s="1" t="s">
        <v>226</v>
      </c>
      <c r="D1" s="1" t="s">
        <v>227</v>
      </c>
      <c r="E1" s="1" t="s">
        <v>3</v>
      </c>
      <c r="F1" s="1" t="s">
        <v>228</v>
      </c>
      <c r="G1" s="1" t="s">
        <v>229</v>
      </c>
      <c r="H1" s="1" t="s">
        <v>221</v>
      </c>
    </row>
  </sheetData>
  <dataValidations count="1">
    <dataValidation type="list" sqref="F2:F5000" xr:uid="{00000000-0002-0000-0200-000000000000}">
      <formula1>"ATTRIBUE,RETOURNE,PERDU,HS"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selection activeCell="D8" sqref="D8"/>
    </sheetView>
  </sheetViews>
  <sheetFormatPr baseColWidth="10" defaultColWidth="9.140625" defaultRowHeight="15" x14ac:dyDescent="0.25"/>
  <sheetData>
    <row r="1" spans="1:1" ht="18.75" x14ac:dyDescent="0.3">
      <c r="A1" s="4" t="s">
        <v>230</v>
      </c>
    </row>
    <row r="3" spans="1:1" x14ac:dyDescent="0.25">
      <c r="A3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10" sqref="B10"/>
    </sheetView>
  </sheetViews>
  <sheetFormatPr baseColWidth="10" defaultColWidth="9.140625" defaultRowHeight="15" x14ac:dyDescent="0.25"/>
  <cols>
    <col min="1" max="1" width="30" customWidth="1"/>
    <col min="2" max="2" width="40" customWidth="1"/>
  </cols>
  <sheetData>
    <row r="1" spans="1:2" ht="21" x14ac:dyDescent="0.35">
      <c r="A1" s="5" t="s">
        <v>231</v>
      </c>
    </row>
    <row r="3" spans="1:2" x14ac:dyDescent="0.25">
      <c r="A3" s="6" t="s">
        <v>232</v>
      </c>
      <c r="B3" s="7">
        <f>COUNTA(INVENTAIRE!A2:A78)</f>
        <v>77</v>
      </c>
    </row>
    <row r="4" spans="1:2" x14ac:dyDescent="0.25">
      <c r="A4" s="6" t="s">
        <v>233</v>
      </c>
      <c r="B4" s="7">
        <f>COUNTIF(INVENTAIRE!J2:J78,"CRITIQUE")</f>
        <v>35</v>
      </c>
    </row>
    <row r="5" spans="1:2" x14ac:dyDescent="0.25">
      <c r="A5" s="6" t="s">
        <v>234</v>
      </c>
      <c r="B5" s="7">
        <f>COUNTIF(INVENTAIRE!J2:J78,"BAS")</f>
        <v>7</v>
      </c>
    </row>
    <row r="6" spans="1:2" x14ac:dyDescent="0.25">
      <c r="A6" s="6" t="s">
        <v>235</v>
      </c>
      <c r="B6" s="7">
        <f>COUNTIF(INVENTAIRE!J2:J78,"OK")</f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selection activeCell="A6" sqref="A6"/>
    </sheetView>
  </sheetViews>
  <sheetFormatPr baseColWidth="10" defaultColWidth="9.140625" defaultRowHeight="15" x14ac:dyDescent="0.25"/>
  <cols>
    <col min="1" max="1" width="27" customWidth="1"/>
    <col min="2" max="2" width="12" customWidth="1"/>
    <col min="3" max="3" width="13" customWidth="1"/>
    <col min="4" max="4" width="14" customWidth="1"/>
    <col min="5" max="5" width="15" customWidth="1"/>
  </cols>
  <sheetData>
    <row r="1" spans="1:5" x14ac:dyDescent="0.25">
      <c r="A1" s="8" t="s">
        <v>236</v>
      </c>
    </row>
    <row r="2" spans="1:5" x14ac:dyDescent="0.25">
      <c r="A2" s="8" t="s">
        <v>237</v>
      </c>
      <c r="B2" s="8" t="s">
        <v>238</v>
      </c>
      <c r="C2" s="8" t="s">
        <v>239</v>
      </c>
      <c r="D2" s="8" t="s">
        <v>240</v>
      </c>
      <c r="E2" s="8" t="s">
        <v>241</v>
      </c>
    </row>
    <row r="3" spans="1:5" x14ac:dyDescent="0.25">
      <c r="A3" t="s">
        <v>242</v>
      </c>
      <c r="B3" t="s">
        <v>223</v>
      </c>
      <c r="C3" t="s">
        <v>224</v>
      </c>
      <c r="D3" t="s">
        <v>243</v>
      </c>
      <c r="E3" t="s">
        <v>15</v>
      </c>
    </row>
    <row r="4" spans="1:5" x14ac:dyDescent="0.25">
      <c r="A4" t="s">
        <v>244</v>
      </c>
      <c r="B4" t="s">
        <v>245</v>
      </c>
      <c r="C4" t="s">
        <v>246</v>
      </c>
      <c r="D4" t="s">
        <v>204</v>
      </c>
      <c r="E4" t="s">
        <v>48</v>
      </c>
    </row>
    <row r="5" spans="1:5" x14ac:dyDescent="0.25">
      <c r="A5" t="s">
        <v>247</v>
      </c>
      <c r="B5" t="s">
        <v>248</v>
      </c>
      <c r="C5" t="s">
        <v>249</v>
      </c>
      <c r="D5" t="s">
        <v>250</v>
      </c>
      <c r="E5" t="s">
        <v>128</v>
      </c>
    </row>
    <row r="6" spans="1:5" x14ac:dyDescent="0.25">
      <c r="A6" t="s">
        <v>251</v>
      </c>
      <c r="C6" t="s">
        <v>252</v>
      </c>
      <c r="D6" t="s">
        <v>253</v>
      </c>
      <c r="E6" t="s">
        <v>196</v>
      </c>
    </row>
    <row r="7" spans="1:5" x14ac:dyDescent="0.25">
      <c r="A7" t="s">
        <v>254</v>
      </c>
      <c r="C7" t="s">
        <v>255</v>
      </c>
      <c r="D7" t="s">
        <v>256</v>
      </c>
      <c r="E7" t="s">
        <v>257</v>
      </c>
    </row>
    <row r="8" spans="1:5" x14ac:dyDescent="0.25">
      <c r="C8" t="s">
        <v>258</v>
      </c>
      <c r="D8" t="s">
        <v>259</v>
      </c>
      <c r="E8" t="s">
        <v>260</v>
      </c>
    </row>
    <row r="9" spans="1:5" x14ac:dyDescent="0.25">
      <c r="C9" t="s">
        <v>261</v>
      </c>
      <c r="D9" t="s">
        <v>262</v>
      </c>
      <c r="E9" t="s">
        <v>128</v>
      </c>
    </row>
    <row r="10" spans="1:5" x14ac:dyDescent="0.25">
      <c r="C10" t="s">
        <v>263</v>
      </c>
      <c r="D10" t="s">
        <v>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"/>
  <sheetViews>
    <sheetView workbookViewId="0"/>
  </sheetViews>
  <sheetFormatPr baseColWidth="10" defaultColWidth="9.140625" defaultRowHeight="15" x14ac:dyDescent="0.25"/>
  <cols>
    <col min="1" max="1" width="45" customWidth="1"/>
  </cols>
  <sheetData>
    <row r="1" spans="1:1" ht="21" x14ac:dyDescent="0.35">
      <c r="A1" s="5" t="s">
        <v>264</v>
      </c>
    </row>
    <row r="3" spans="1:1" ht="30" x14ac:dyDescent="0.25">
      <c r="A3" s="2" t="s">
        <v>265</v>
      </c>
    </row>
    <row r="4" spans="1:1" x14ac:dyDescent="0.25">
      <c r="A4" s="2" t="s">
        <v>266</v>
      </c>
    </row>
    <row r="5" spans="1:1" ht="30" x14ac:dyDescent="0.25">
      <c r="A5" s="2" t="s">
        <v>267</v>
      </c>
    </row>
    <row r="6" spans="1:1" ht="30" x14ac:dyDescent="0.25">
      <c r="A6" s="2" t="s">
        <v>268</v>
      </c>
    </row>
    <row r="7" spans="1:1" ht="30" x14ac:dyDescent="0.25">
      <c r="A7" s="2" t="s">
        <v>269</v>
      </c>
    </row>
    <row r="8" spans="1:1" ht="30" x14ac:dyDescent="0.25">
      <c r="A8" s="2" t="s">
        <v>270</v>
      </c>
    </row>
    <row r="9" spans="1:1" ht="30" x14ac:dyDescent="0.25">
      <c r="A9" s="2" t="s">
        <v>271</v>
      </c>
    </row>
    <row r="10" spans="1:1" ht="30" x14ac:dyDescent="0.25">
      <c r="A10" s="2" t="s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INVENTAIRE</vt:lpstr>
      <vt:lpstr>MOUVEMENTS_STOCK</vt:lpstr>
      <vt:lpstr>ATTRIBUTIONS</vt:lpstr>
      <vt:lpstr>ALERTES</vt:lpstr>
      <vt:lpstr>DASHBOARD</vt:lpstr>
      <vt:lpstr>PARAMETRES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Brice NGWA</cp:lastModifiedBy>
  <dcterms:created xsi:type="dcterms:W3CDTF">2025-12-22T15:30:59Z</dcterms:created>
  <dcterms:modified xsi:type="dcterms:W3CDTF">2025-12-22T16:22:06Z</dcterms:modified>
</cp:coreProperties>
</file>